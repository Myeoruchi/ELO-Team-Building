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btls\OneDrive\바탕 화면\유틸\"/>
    </mc:Choice>
  </mc:AlternateContent>
  <xr:revisionPtr revIDLastSave="0" documentId="8_{974DAF15-1A03-4A6A-A32C-EDF831C880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yer List" sheetId="1" r:id="rId1"/>
    <sheet name="Match Records" sheetId="2" r:id="rId2"/>
    <sheet name="Summary" sheetId="3" r:id="rId3"/>
    <sheet name="VBA Instruction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3" i="1"/>
  <c r="D8" i="1"/>
  <c r="D9" i="1"/>
  <c r="D4" i="1"/>
  <c r="D5" i="1"/>
  <c r="D7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2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G3" i="1"/>
  <c r="G4" i="1"/>
  <c r="G5" i="1"/>
  <c r="G6" i="1"/>
  <c r="G7" i="1"/>
  <c r="G8" i="1"/>
  <c r="G9" i="1"/>
  <c r="G10" i="1"/>
  <c r="G11" i="1"/>
  <c r="G12" i="1"/>
  <c r="G13" i="1"/>
  <c r="G14" i="1"/>
  <c r="F14" i="1" s="1"/>
  <c r="G15" i="1"/>
  <c r="F15" i="1" s="1"/>
  <c r="G16" i="1"/>
  <c r="F16" i="1" s="1"/>
  <c r="G17" i="1"/>
  <c r="F17" i="1" s="1"/>
  <c r="G18" i="1"/>
  <c r="F18" i="1" s="1"/>
  <c r="G19" i="1"/>
  <c r="F19" i="1" s="1"/>
  <c r="G20" i="1"/>
  <c r="F20" i="1" s="1"/>
  <c r="G21" i="1"/>
  <c r="F21" i="1" s="1"/>
  <c r="G22" i="1"/>
  <c r="F22" i="1" s="1"/>
  <c r="G23" i="1"/>
  <c r="F23" i="1" s="1"/>
  <c r="G24" i="1"/>
  <c r="F24" i="1" s="1"/>
  <c r="G25" i="1"/>
  <c r="F25" i="1" s="1"/>
  <c r="G26" i="1"/>
  <c r="F26" i="1" s="1"/>
  <c r="G27" i="1"/>
  <c r="F27" i="1" s="1"/>
  <c r="G28" i="1"/>
  <c r="F28" i="1" s="1"/>
  <c r="G29" i="1"/>
  <c r="F29" i="1" s="1"/>
  <c r="G30" i="1"/>
  <c r="F30" i="1" s="1"/>
  <c r="G31" i="1"/>
  <c r="F31" i="1" s="1"/>
  <c r="G32" i="1"/>
  <c r="F32" i="1" s="1"/>
  <c r="G33" i="1"/>
  <c r="F33" i="1" s="1"/>
  <c r="G34" i="1"/>
  <c r="F34" i="1" s="1"/>
  <c r="G35" i="1"/>
  <c r="F35" i="1" s="1"/>
  <c r="G36" i="1"/>
  <c r="F36" i="1" s="1"/>
  <c r="G37" i="1"/>
  <c r="F37" i="1" s="1"/>
  <c r="G38" i="1"/>
  <c r="F38" i="1" s="1"/>
  <c r="G39" i="1"/>
  <c r="F39" i="1" s="1"/>
  <c r="G40" i="1"/>
  <c r="F40" i="1" s="1"/>
  <c r="G41" i="1"/>
  <c r="F41" i="1" s="1"/>
  <c r="G42" i="1"/>
  <c r="F42" i="1" s="1"/>
  <c r="G43" i="1"/>
  <c r="F43" i="1" s="1"/>
  <c r="G44" i="1"/>
  <c r="F44" i="1" s="1"/>
  <c r="G45" i="1"/>
  <c r="F45" i="1" s="1"/>
  <c r="G46" i="1"/>
  <c r="F46" i="1" s="1"/>
  <c r="G47" i="1"/>
  <c r="F47" i="1" s="1"/>
  <c r="G48" i="1"/>
  <c r="F48" i="1" s="1"/>
  <c r="G49" i="1"/>
  <c r="F49" i="1" s="1"/>
  <c r="G50" i="1"/>
  <c r="F50" i="1" s="1"/>
  <c r="G51" i="1"/>
  <c r="F51" i="1" s="1"/>
  <c r="G52" i="1"/>
  <c r="F52" i="1" s="1"/>
  <c r="G53" i="1"/>
  <c r="F53" i="1" s="1"/>
  <c r="G54" i="1"/>
  <c r="F54" i="1" s="1"/>
  <c r="G55" i="1"/>
  <c r="F55" i="1" s="1"/>
  <c r="G56" i="1"/>
  <c r="F56" i="1" s="1"/>
  <c r="G57" i="1"/>
  <c r="F57" i="1" s="1"/>
  <c r="G58" i="1"/>
  <c r="F58" i="1" s="1"/>
  <c r="G59" i="1"/>
  <c r="F59" i="1" s="1"/>
  <c r="G60" i="1"/>
  <c r="F60" i="1" s="1"/>
  <c r="G61" i="1"/>
  <c r="F61" i="1" s="1"/>
  <c r="G62" i="1"/>
  <c r="F62" i="1" s="1"/>
  <c r="G63" i="1"/>
  <c r="F63" i="1" s="1"/>
  <c r="G64" i="1"/>
  <c r="F64" i="1" s="1"/>
  <c r="G65" i="1"/>
  <c r="F65" i="1" s="1"/>
  <c r="G66" i="1"/>
  <c r="F66" i="1" s="1"/>
  <c r="G67" i="1"/>
  <c r="F67" i="1" s="1"/>
  <c r="G68" i="1"/>
  <c r="F68" i="1" s="1"/>
  <c r="G69" i="1"/>
  <c r="F69" i="1" s="1"/>
  <c r="G70" i="1"/>
  <c r="F70" i="1" s="1"/>
  <c r="G71" i="1"/>
  <c r="F71" i="1" s="1"/>
  <c r="G72" i="1"/>
  <c r="F72" i="1" s="1"/>
  <c r="G73" i="1"/>
  <c r="F73" i="1" s="1"/>
  <c r="G74" i="1"/>
  <c r="F74" i="1" s="1"/>
  <c r="G75" i="1"/>
  <c r="F75" i="1" s="1"/>
  <c r="G76" i="1"/>
  <c r="F76" i="1" s="1"/>
  <c r="G77" i="1"/>
  <c r="F77" i="1" s="1"/>
  <c r="G78" i="1"/>
  <c r="F78" i="1" s="1"/>
  <c r="G79" i="1"/>
  <c r="F79" i="1" s="1"/>
  <c r="G80" i="1"/>
  <c r="F80" i="1" s="1"/>
  <c r="G81" i="1"/>
  <c r="F81" i="1" s="1"/>
  <c r="G82" i="1"/>
  <c r="F82" i="1" s="1"/>
  <c r="G83" i="1"/>
  <c r="F83" i="1" s="1"/>
  <c r="G84" i="1"/>
  <c r="F84" i="1" s="1"/>
  <c r="G85" i="1"/>
  <c r="F85" i="1" s="1"/>
  <c r="G2" i="1"/>
  <c r="F2" i="1" l="1"/>
  <c r="F6" i="1"/>
  <c r="F3" i="1"/>
  <c r="F8" i="1"/>
  <c r="F9" i="1"/>
  <c r="F7" i="1"/>
  <c r="F13" i="1"/>
  <c r="F5" i="1"/>
  <c r="F4" i="1"/>
  <c r="F12" i="1"/>
  <c r="F11" i="1"/>
  <c r="F10" i="1"/>
</calcChain>
</file>

<file path=xl/sharedStrings.xml><?xml version="1.0" encoding="utf-8"?>
<sst xmlns="http://schemas.openxmlformats.org/spreadsheetml/2006/main" count="75" uniqueCount="60">
  <si>
    <t>Match Number</t>
  </si>
  <si>
    <t>Date</t>
  </si>
  <si>
    <t>Team A</t>
  </si>
  <si>
    <t>Team B</t>
  </si>
  <si>
    <t>Score (Team A)</t>
  </si>
  <si>
    <t>Score (Team B)</t>
  </si>
  <si>
    <t>Winning Team</t>
  </si>
  <si>
    <t>Updated</t>
  </si>
  <si>
    <t>Wins</t>
  </si>
  <si>
    <t>Losses</t>
  </si>
  <si>
    <t>Current Rating</t>
  </si>
  <si>
    <t>Instructions for Automatic Rating Update</t>
  </si>
  <si>
    <t>1. Enable Macros when opening the workbook.</t>
  </si>
  <si>
    <t>2. Go to the 'Developer' tab and click 'Macros'.</t>
  </si>
  <si>
    <t>3. Select 'UpdateEloRatings' and click 'Run'.</t>
  </si>
  <si>
    <t>4. The ELO ratings will be automatically updated based on the match records.</t>
  </si>
  <si>
    <t>리디</t>
    <phoneticPr fontId="2" type="noConversion"/>
  </si>
  <si>
    <t>에추히</t>
    <phoneticPr fontId="2" type="noConversion"/>
  </si>
  <si>
    <t>세보</t>
    <phoneticPr fontId="2" type="noConversion"/>
  </si>
  <si>
    <t>진성</t>
    <phoneticPr fontId="2" type="noConversion"/>
  </si>
  <si>
    <t>태윤</t>
    <phoneticPr fontId="2" type="noConversion"/>
  </si>
  <si>
    <t>유주</t>
    <phoneticPr fontId="2" type="noConversion"/>
  </si>
  <si>
    <t>채림</t>
    <phoneticPr fontId="2" type="noConversion"/>
  </si>
  <si>
    <t>첼붕</t>
    <phoneticPr fontId="2" type="noConversion"/>
  </si>
  <si>
    <t>우럭</t>
    <phoneticPr fontId="2" type="noConversion"/>
  </si>
  <si>
    <t>은비</t>
    <phoneticPr fontId="2" type="noConversion"/>
  </si>
  <si>
    <t>리디,우럭,첼붕,채림,태윤</t>
    <phoneticPr fontId="2" type="noConversion"/>
  </si>
  <si>
    <t>Yes</t>
  </si>
  <si>
    <t>세보,은비,진성,유주,탱</t>
    <phoneticPr fontId="2" type="noConversion"/>
  </si>
  <si>
    <t>탱</t>
    <phoneticPr fontId="2" type="noConversion"/>
  </si>
  <si>
    <t>윤큐</t>
    <phoneticPr fontId="2" type="noConversion"/>
  </si>
  <si>
    <t>Team B</t>
    <phoneticPr fontId="2" type="noConversion"/>
  </si>
  <si>
    <t>레이팅 순위</t>
    <phoneticPr fontId="2" type="noConversion"/>
  </si>
  <si>
    <t>변동 점수</t>
    <phoneticPr fontId="2" type="noConversion"/>
  </si>
  <si>
    <t>순위 변화</t>
    <phoneticPr fontId="2" type="noConversion"/>
  </si>
  <si>
    <t>이전 레이팅 점수</t>
    <phoneticPr fontId="2" type="noConversion"/>
  </si>
  <si>
    <t>현재 레이팅 점수</t>
    <phoneticPr fontId="2" type="noConversion"/>
  </si>
  <si>
    <t>이전 순위</t>
    <phoneticPr fontId="2" type="noConversion"/>
  </si>
  <si>
    <t>Player Name</t>
    <phoneticPr fontId="2" type="noConversion"/>
  </si>
  <si>
    <t>Team A</t>
    <phoneticPr fontId="2" type="noConversion"/>
  </si>
  <si>
    <t>Player Name</t>
    <phoneticPr fontId="2" type="noConversion"/>
  </si>
  <si>
    <t>세보,은비,진성,유주,윤큐</t>
    <phoneticPr fontId="2" type="noConversion"/>
  </si>
  <si>
    <t>세보,은비,진성,유주,에추히</t>
    <phoneticPr fontId="2" type="noConversion"/>
  </si>
  <si>
    <t>티어</t>
    <phoneticPr fontId="2" type="noConversion"/>
  </si>
  <si>
    <t>기준 Elo 레이팅</t>
    <phoneticPr fontId="2" type="noConversion"/>
  </si>
  <si>
    <t>아이언</t>
    <phoneticPr fontId="2" type="noConversion"/>
  </si>
  <si>
    <t>브론즈</t>
    <phoneticPr fontId="2" type="noConversion"/>
  </si>
  <si>
    <t>실버</t>
    <phoneticPr fontId="2" type="noConversion"/>
  </si>
  <si>
    <t>골드</t>
    <phoneticPr fontId="2" type="noConversion"/>
  </si>
  <si>
    <t>플래티넘</t>
    <phoneticPr fontId="2" type="noConversion"/>
  </si>
  <si>
    <t>다이아몬드1</t>
    <phoneticPr fontId="2" type="noConversion"/>
  </si>
  <si>
    <t>다이아몬드2</t>
    <phoneticPr fontId="2" type="noConversion"/>
  </si>
  <si>
    <t>다이아몬드3</t>
    <phoneticPr fontId="2" type="noConversion"/>
  </si>
  <si>
    <t>초월자1</t>
    <phoneticPr fontId="2" type="noConversion"/>
  </si>
  <si>
    <t>초월자2</t>
    <phoneticPr fontId="2" type="noConversion"/>
  </si>
  <si>
    <t>초월자3</t>
    <phoneticPr fontId="2" type="noConversion"/>
  </si>
  <si>
    <t>불멸1</t>
    <phoneticPr fontId="2" type="noConversion"/>
  </si>
  <si>
    <t>불멸2</t>
    <phoneticPr fontId="2" type="noConversion"/>
  </si>
  <si>
    <t>불멸3</t>
    <phoneticPr fontId="2" type="noConversion"/>
  </si>
  <si>
    <t>래디언트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</si>
</sst>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12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2"/>
      <color rgb="FF000000"/>
      <name val="Inherit"/>
      <family val="2"/>
    </font>
    <font>
      <b/>
      <sz val="16"/>
      <name val="맑은 고딕"/>
      <family val="3"/>
      <charset val="129"/>
    </font>
    <font>
      <sz val="16"/>
      <color theme="1"/>
      <name val="맑은 고딕"/>
      <family val="2"/>
      <scheme val="minor"/>
    </font>
    <font>
      <sz val="16"/>
      <color theme="1"/>
      <name val="맑은 고딕"/>
      <family val="3"/>
      <charset val="129"/>
      <scheme val="minor"/>
    </font>
    <font>
      <sz val="16"/>
      <color rgb="FF000000"/>
      <name val="Inherit"/>
      <family val="2"/>
    </font>
    <font>
      <sz val="16"/>
      <color theme="1"/>
      <name val="맑은 고딕"/>
      <family val="2"/>
      <scheme val="major"/>
    </font>
    <font>
      <sz val="16"/>
      <color theme="1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76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표준" xfId="0" builtinId="0"/>
  </cellStyles>
  <dxfs count="2">
    <dxf>
      <font>
        <color rgb="FFFF0000"/>
      </font>
    </dxf>
    <dxf>
      <font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54"/>
  <sheetViews>
    <sheetView tabSelected="1" zoomScale="70" zoomScaleNormal="70" workbookViewId="0">
      <selection activeCell="E8" sqref="E8"/>
    </sheetView>
  </sheetViews>
  <sheetFormatPr defaultRowHeight="26.25"/>
  <cols>
    <col min="1" max="1" width="33.5" style="13" customWidth="1"/>
    <col min="2" max="2" width="23.125" style="16" bestFit="1" customWidth="1"/>
    <col min="3" max="3" width="24.75" style="16" bestFit="1" customWidth="1"/>
    <col min="4" max="4" width="13.375" style="13" bestFit="1" customWidth="1"/>
    <col min="5" max="5" width="16.375" style="13" bestFit="1" customWidth="1"/>
    <col min="6" max="6" width="13.375" style="7" bestFit="1" customWidth="1"/>
    <col min="7" max="7" width="13.375" style="5" hidden="1" customWidth="1"/>
    <col min="8" max="8" width="9" style="5"/>
    <col min="9" max="9" width="17.75" style="7" bestFit="1" customWidth="1"/>
    <col min="10" max="10" width="22.5" style="7" bestFit="1" customWidth="1"/>
    <col min="11" max="16384" width="9" style="5"/>
  </cols>
  <sheetData>
    <row r="1" spans="1:10">
      <c r="A1" s="6" t="s">
        <v>40</v>
      </c>
      <c r="B1" s="6" t="s">
        <v>36</v>
      </c>
      <c r="C1" s="10" t="s">
        <v>35</v>
      </c>
      <c r="D1" s="11" t="s">
        <v>33</v>
      </c>
      <c r="E1" s="12" t="s">
        <v>32</v>
      </c>
      <c r="F1" s="11" t="s">
        <v>34</v>
      </c>
      <c r="G1" s="7" t="s">
        <v>37</v>
      </c>
      <c r="I1" s="17" t="s">
        <v>43</v>
      </c>
      <c r="J1" s="17" t="s">
        <v>44</v>
      </c>
    </row>
    <row r="2" spans="1:10">
      <c r="A2" s="14" t="s">
        <v>20</v>
      </c>
      <c r="B2" s="15">
        <v>2557.3223124290198</v>
      </c>
      <c r="C2" s="16">
        <v>2551.4689472688783</v>
      </c>
      <c r="D2" s="13" t="str">
        <f>_xlfn.IFNA(IF(B2-C2 = 0, IF(AND(B2 = 0, C2 = 0), "", "="), IF(B2-C2&gt;0,"▲" &amp; ROUND(B2-C2, 0),"▼" &amp; ABS(ROUND(B2-C2, 0)))),"")</f>
        <v>▲6</v>
      </c>
      <c r="E2" s="13">
        <v>1</v>
      </c>
      <c r="F2" s="9" t="str">
        <f>_xlfn.IFNA(IFERROR(IF(G2-RANK(B2,B$2:B$99,0)=0,"=",IF(G2-RANK(B2,B$2:B$99,0)&gt;0,"▲" &amp; G2-RANK(B2,B$2:B$99,0),"▼" &amp; ABS(G2-RANK(B2,B$2:B$99,0)))),""),"")</f>
        <v>=</v>
      </c>
      <c r="G2" s="9">
        <f>_xlfn.IFNA(RANK(C2, C$2:C$99, 0), "")</f>
        <v>1</v>
      </c>
      <c r="I2" s="7" t="s">
        <v>45</v>
      </c>
      <c r="J2" s="7">
        <v>800</v>
      </c>
    </row>
    <row r="3" spans="1:10">
      <c r="A3" s="14" t="s">
        <v>22</v>
      </c>
      <c r="B3" s="15">
        <v>2083.5617233360435</v>
      </c>
      <c r="C3" s="16">
        <v>2020.6514638226392</v>
      </c>
      <c r="D3" s="13" t="str">
        <f>_xlfn.IFNA(IF(B3-C3 = 0, IF(AND(B3 = 0, C3 = 0), "", "="), IF(B3-C3&gt;0,"▲" &amp; ROUND(B3-C3, 0),"▼" &amp; ABS(ROUND(B3-C3, 0)))),"")</f>
        <v>▲63</v>
      </c>
      <c r="E3" s="13">
        <v>2</v>
      </c>
      <c r="F3" s="9" t="str">
        <f>_xlfn.IFNA(IFERROR(IF(G3-RANK(B3,B$2:B$99,0)=0,"=",IF(G3-RANK(B3,B$2:B$99,0)&gt;0,"▲" &amp; G3-RANK(B3,B$2:B$99,0),"▼" &amp; ABS(G3-RANK(B3,B$2:B$99,0)))),""),"")</f>
        <v>▲2</v>
      </c>
      <c r="G3" s="9">
        <f>_xlfn.IFNA(RANK(C3, C$2:C$99, 0), "")</f>
        <v>4</v>
      </c>
      <c r="I3" s="7" t="s">
        <v>46</v>
      </c>
      <c r="J3" s="7">
        <v>1000</v>
      </c>
    </row>
    <row r="4" spans="1:10">
      <c r="A4" s="14" t="s">
        <v>21</v>
      </c>
      <c r="B4" s="15">
        <v>2064.3192183733108</v>
      </c>
      <c r="C4" s="16">
        <v>2152.0948324195806</v>
      </c>
      <c r="D4" s="13" t="str">
        <f>_xlfn.IFNA(IF(B4-C4 = 0, IF(AND(B4 = 0, C4 = 0), "", "="), IF(B4-C4&gt;0,"▲" &amp; ROUND(B4-C4, 0),"▼" &amp; ABS(ROUND(B4-C4, 0)))),"")</f>
        <v>▼88</v>
      </c>
      <c r="E4" s="13">
        <v>3</v>
      </c>
      <c r="F4" s="9" t="str">
        <f>_xlfn.IFNA(IFERROR(IF(G4-RANK(B4,B$2:B$99,0)=0,"=",IF(G4-RANK(B4,B$2:B$99,0)&gt;0,"▲" &amp; G4-RANK(B4,B$2:B$99,0),"▼" &amp; ABS(G4-RANK(B4,B$2:B$99,0)))),""),"")</f>
        <v>▼1</v>
      </c>
      <c r="G4" s="9">
        <f>_xlfn.IFNA(RANK(C4, C$2:C$99, 0), "")</f>
        <v>2</v>
      </c>
      <c r="I4" s="7" t="s">
        <v>47</v>
      </c>
      <c r="J4" s="7">
        <v>1200</v>
      </c>
    </row>
    <row r="5" spans="1:10">
      <c r="A5" s="14" t="s">
        <v>19</v>
      </c>
      <c r="B5" s="15">
        <v>2064.3192183733108</v>
      </c>
      <c r="C5" s="16">
        <v>2152.0948324195806</v>
      </c>
      <c r="D5" s="13" t="str">
        <f>_xlfn.IFNA(IF(B5-C5 = 0, IF(AND(B5 = 0, C5 = 0), "", "="), IF(B5-C5&gt;0,"▲" &amp; ROUND(B5-C5, 0),"▼" &amp; ABS(ROUND(B5-C5, 0)))),"")</f>
        <v>▼88</v>
      </c>
      <c r="E5" s="13">
        <v>3</v>
      </c>
      <c r="F5" s="9" t="str">
        <f>_xlfn.IFNA(IFERROR(IF(G5-RANK(B5,B$2:B$99,0)=0,"=",IF(G5-RANK(B5,B$2:B$99,0)&gt;0,"▲" &amp; G5-RANK(B5,B$2:B$99,0),"▼" &amp; ABS(G5-RANK(B5,B$2:B$99,0)))),""),"")</f>
        <v>▼1</v>
      </c>
      <c r="G5" s="9">
        <f>_xlfn.IFNA(RANK(C5, C$2:C$99, 0), "")</f>
        <v>2</v>
      </c>
      <c r="I5" s="7" t="s">
        <v>48</v>
      </c>
      <c r="J5" s="7">
        <v>1400</v>
      </c>
    </row>
    <row r="6" spans="1:10">
      <c r="A6" s="14" t="s">
        <v>24</v>
      </c>
      <c r="B6" s="15">
        <v>2022.8558334648365</v>
      </c>
      <c r="C6" s="16">
        <v>1945.5913168218917</v>
      </c>
      <c r="D6" s="13" t="str">
        <f>_xlfn.IFNA(IF(B6-C6 = 0, IF(AND(B6 = 0, C6 = 0), "", "="), IF(B6-C6&gt;0,"▲" &amp; ROUND(B6-C6, 0),"▼" &amp; ABS(ROUND(B6-C6, 0)))),"")</f>
        <v>▲77</v>
      </c>
      <c r="E6" s="13">
        <v>5</v>
      </c>
      <c r="F6" s="9" t="str">
        <f>_xlfn.IFNA(IFERROR(IF(G6-RANK(B6,B$2:B$99,0)=0,"=",IF(G6-RANK(B6,B$2:B$99,0)&gt;0,"▲" &amp; G6-RANK(B6,B$2:B$99,0),"▼" &amp; ABS(G6-RANK(B6,B$2:B$99,0)))),""),"")</f>
        <v>▲1</v>
      </c>
      <c r="G6" s="9">
        <f>_xlfn.IFNA(RANK(C6, C$2:C$99, 0), "")</f>
        <v>6</v>
      </c>
      <c r="I6" s="7" t="s">
        <v>49</v>
      </c>
      <c r="J6" s="7">
        <v>1600</v>
      </c>
    </row>
    <row r="7" spans="1:10">
      <c r="A7" s="14" t="s">
        <v>25</v>
      </c>
      <c r="B7" s="15">
        <v>1911.4835764781242</v>
      </c>
      <c r="C7" s="16">
        <v>1983.2411954331099</v>
      </c>
      <c r="D7" s="13" t="str">
        <f>_xlfn.IFNA(IF(B7-C7 = 0, IF(AND(B7 = 0, C7 = 0), "", "="), IF(B7-C7&gt;0,"▲" &amp; ROUND(B7-C7, 0),"▼" &amp; ABS(ROUND(B7-C7, 0)))),"")</f>
        <v>▼72</v>
      </c>
      <c r="E7" s="13">
        <v>6</v>
      </c>
      <c r="F7" s="9" t="str">
        <f>_xlfn.IFNA(IFERROR(IF(G7-RANK(B7,B$2:B$99,0)=0,"=",IF(G7-RANK(B7,B$2:B$99,0)&gt;0,"▲" &amp; G7-RANK(B7,B$2:B$99,0),"▼" &amp; ABS(G7-RANK(B7,B$2:B$99,0)))),""),"")</f>
        <v>▼1</v>
      </c>
      <c r="G7" s="9">
        <f>_xlfn.IFNA(RANK(C7, C$2:C$99, 0), "")</f>
        <v>5</v>
      </c>
      <c r="I7" s="7" t="s">
        <v>50</v>
      </c>
      <c r="J7" s="7">
        <v>1900</v>
      </c>
    </row>
    <row r="8" spans="1:10">
      <c r="A8" s="14" t="s">
        <v>16</v>
      </c>
      <c r="B8" s="15">
        <v>1711.1351298753766</v>
      </c>
      <c r="C8" s="16">
        <v>1555.4748647405033</v>
      </c>
      <c r="D8" s="13" t="str">
        <f>_xlfn.IFNA(IF(B8-C8 = 0, IF(AND(B8 = 0, C8 = 0), "", "="), IF(B8-C8&gt;0,"▲" &amp; ROUND(B8-C8, 0),"▼" &amp; ABS(ROUND(B8-C8, 0)))),"")</f>
        <v>▲156</v>
      </c>
      <c r="E8" s="13">
        <v>7</v>
      </c>
      <c r="F8" s="9" t="str">
        <f>_xlfn.IFNA(IFERROR(IF(G8-RANK(B8,B$2:B$99,0)=0,"=",IF(G8-RANK(B8,B$2:B$99,0)&gt;0,"▲" &amp; G8-RANK(B8,B$2:B$99,0),"▼" &amp; ABS(G8-RANK(B8,B$2:B$99,0)))),""),"")</f>
        <v>▲2</v>
      </c>
      <c r="G8" s="9">
        <f>_xlfn.IFNA(RANK(C8, C$2:C$99, 0), "")</f>
        <v>9</v>
      </c>
      <c r="I8" s="7" t="s">
        <v>51</v>
      </c>
      <c r="J8" s="7">
        <v>2000</v>
      </c>
    </row>
    <row r="9" spans="1:10">
      <c r="A9" s="14" t="s">
        <v>23</v>
      </c>
      <c r="B9" s="15">
        <v>1711.1351298753766</v>
      </c>
      <c r="C9" s="16">
        <v>1555.4748647405033</v>
      </c>
      <c r="D9" s="13" t="str">
        <f>_xlfn.IFNA(IF(B9-C9 = 0, IF(AND(B9 = 0, C9 = 0), "", "="), IF(B9-C9&gt;0,"▲" &amp; ROUND(B9-C9, 0),"▼" &amp; ABS(ROUND(B9-C9, 0)))),"")</f>
        <v>▲156</v>
      </c>
      <c r="E9" s="13">
        <v>7</v>
      </c>
      <c r="F9" s="9" t="str">
        <f>_xlfn.IFNA(IFERROR(IF(G9-RANK(B9,B$2:B$99,0)=0,"=",IF(G9-RANK(B9,B$2:B$99,0)&gt;0,"▲" &amp; G9-RANK(B9,B$2:B$99,0),"▼" &amp; ABS(G9-RANK(B9,B$2:B$99,0)))),""),"")</f>
        <v>▲2</v>
      </c>
      <c r="G9" s="9">
        <f>_xlfn.IFNA(RANK(C9, C$2:C$99, 0), "")</f>
        <v>9</v>
      </c>
      <c r="I9" s="7" t="s">
        <v>52</v>
      </c>
      <c r="J9" s="7">
        <v>2100</v>
      </c>
    </row>
    <row r="10" spans="1:10">
      <c r="A10" s="14" t="s">
        <v>18</v>
      </c>
      <c r="B10" s="15">
        <v>1638.1006640334881</v>
      </c>
      <c r="C10" s="16">
        <v>1673.4866516386467</v>
      </c>
      <c r="D10" s="13" t="str">
        <f>_xlfn.IFNA(IF(B10-C10 = 0, IF(AND(B10 = 0, C10 = 0), "", "="), IF(B10-C10&gt;0,"▲" &amp; ROUND(B10-C10, 0),"▼" &amp; ABS(ROUND(B10-C10, 0)))),"")</f>
        <v>▼35</v>
      </c>
      <c r="E10" s="13">
        <v>9</v>
      </c>
      <c r="F10" s="9" t="str">
        <f>_xlfn.IFNA(IFERROR(IF(G10-RANK(B10,B$2:B$99,0)=0,"=",IF(G10-RANK(B10,B$2:B$99,0)&gt;0,"▲" &amp; G10-RANK(B10,B$2:B$99,0),"▼" &amp; ABS(G10-RANK(B10,B$2:B$99,0)))),""),"")</f>
        <v>▼2</v>
      </c>
      <c r="G10" s="9">
        <f>_xlfn.IFNA(RANK(C10, C$2:C$99, 0), "")</f>
        <v>7</v>
      </c>
      <c r="I10" s="7" t="s">
        <v>53</v>
      </c>
      <c r="J10" s="7">
        <v>2200</v>
      </c>
    </row>
    <row r="11" spans="1:10">
      <c r="A11" s="14" t="s">
        <v>17</v>
      </c>
      <c r="B11" s="15">
        <v>1572.1394771900914</v>
      </c>
      <c r="C11" s="16">
        <v>1600</v>
      </c>
      <c r="D11" s="13" t="str">
        <f>_xlfn.IFNA(IF(B11-C11 = 0, IF(AND(B11 = 0, C11 = 0), "", "="), IF(B11-C11&gt;0,"▲" &amp; ROUND(B11-C11, 0),"▼" &amp; ABS(ROUND(B11-C11, 0)))),"")</f>
        <v>▼28</v>
      </c>
      <c r="E11" s="13">
        <v>10</v>
      </c>
      <c r="F11" s="9" t="str">
        <f>_xlfn.IFNA(IFERROR(IF(G11-RANK(B11,B$2:B$99,0)=0,"=",IF(G11-RANK(B11,B$2:B$99,0)&gt;0,"▲" &amp; G11-RANK(B11,B$2:B$99,0),"▼" &amp; ABS(G11-RANK(B11,B$2:B$99,0)))),""),"")</f>
        <v>▼2</v>
      </c>
      <c r="G11" s="9">
        <f>_xlfn.IFNA(RANK(C11, C$2:C$99, 0), "")</f>
        <v>8</v>
      </c>
      <c r="I11" s="7" t="s">
        <v>54</v>
      </c>
      <c r="J11" s="7">
        <v>2350</v>
      </c>
    </row>
    <row r="12" spans="1:10">
      <c r="A12" s="14" t="s">
        <v>29</v>
      </c>
      <c r="B12" s="15">
        <v>1390.4267193842454</v>
      </c>
      <c r="C12" s="16">
        <v>1200</v>
      </c>
      <c r="D12" s="13" t="str">
        <f>_xlfn.IFNA(IF(B12-C12 = 0, IF(AND(B12 = 0, C12 = 0), "", "="), IF(B12-C12&gt;0,"▲" &amp; ROUND(B12-C12, 0),"▼" &amp; ABS(ROUND(B12-C12, 0)))),"")</f>
        <v>▲190</v>
      </c>
      <c r="E12" s="13">
        <v>11</v>
      </c>
      <c r="F12" s="9" t="str">
        <f>_xlfn.IFNA(IFERROR(IF(G12-RANK(B12,B$2:B$99,0)=0,"=",IF(G12-RANK(B12,B$2:B$99,0)&gt;0,"▲" &amp; G12-RANK(B12,B$2:B$99,0),"▼" &amp; ABS(G12-RANK(B12,B$2:B$99,0)))),""),"")</f>
        <v>=</v>
      </c>
      <c r="G12" s="9">
        <f>_xlfn.IFNA(RANK(C12, C$2:C$99, 0), "")</f>
        <v>11</v>
      </c>
      <c r="I12" s="7" t="s">
        <v>55</v>
      </c>
      <c r="J12" s="7">
        <v>2500</v>
      </c>
    </row>
    <row r="13" spans="1:10">
      <c r="A13" s="14" t="s">
        <v>30</v>
      </c>
      <c r="B13" s="15">
        <v>1190.47179911949</v>
      </c>
      <c r="C13" s="16">
        <v>1200</v>
      </c>
      <c r="D13" s="13" t="str">
        <f>_xlfn.IFNA(IF(B13-C13 = 0, IF(AND(B13 = 0, C13 = 0), "", "="), IF(B13-C13&gt;0,"▲" &amp; ROUND(B13-C13, 0),"▼" &amp; ABS(ROUND(B13-C13, 0)))),"")</f>
        <v>▼10</v>
      </c>
      <c r="E13" s="13">
        <v>12</v>
      </c>
      <c r="F13" s="9" t="str">
        <f>_xlfn.IFNA(IFERROR(IF(G13-RANK(B13,B$2:B$99,0)=0,"=",IF(G13-RANK(B13,B$2:B$99,0)&gt;0,"▲" &amp; G13-RANK(B13,B$2:B$99,0),"▼" &amp; ABS(G13-RANK(B13,B$2:B$99,0)))),""),"")</f>
        <v>▼1</v>
      </c>
      <c r="G13" s="9">
        <f>_xlfn.IFNA(RANK(C13, C$2:C$99, 0), "")</f>
        <v>11</v>
      </c>
      <c r="I13" s="7" t="s">
        <v>56</v>
      </c>
      <c r="J13" s="7">
        <v>2650</v>
      </c>
    </row>
    <row r="14" spans="1:10">
      <c r="D14" s="13" t="str">
        <f t="shared" ref="D14:D65" si="0">_xlfn.IFNA(IF(B14-C14 = 0, IF(AND(B14 = 0, C14 = 0), "", "="), IF(B14-C14&gt;0,"▲" &amp; ROUND(B14-C14, 0),"▼" &amp; ABS(ROUND(B14-C14, 0)))),"")</f>
        <v/>
      </c>
      <c r="F14" s="9" t="str">
        <f>_xlfn.IFNA(IFERROR(IF(G14-RANK(B14,B$2:B$99,0)=0,"=",IF(G14-RANK(B14,B$2:B$99,0)&gt;0,"▲" &amp; G14-RANK(B14,B$2:B$99,0),"▼" &amp; ABS(G14-RANK(B14,B$2:B$99,0)))),""),"")</f>
        <v/>
      </c>
      <c r="G14" s="8" t="str">
        <f>_xlfn.IFNA(RANK(C14, C$2:C$99, 0), "")</f>
        <v/>
      </c>
      <c r="I14" s="7" t="s">
        <v>57</v>
      </c>
      <c r="J14" s="7">
        <v>2850</v>
      </c>
    </row>
    <row r="15" spans="1:10">
      <c r="D15" s="13" t="str">
        <f t="shared" si="0"/>
        <v/>
      </c>
      <c r="F15" s="9" t="str">
        <f>_xlfn.IFNA(IFERROR(IF(G15-RANK(B15,B$2:B$99,0)=0,"=",IF(G15-RANK(B15,B$2:B$99,0)&gt;0,"▲" &amp; G15-RANK(B15,B$2:B$99,0),"▼" &amp; ABS(G15-RANK(B15,B$2:B$99,0)))),""),"")</f>
        <v/>
      </c>
      <c r="G15" s="8" t="str">
        <f>_xlfn.IFNA(RANK(C15, C$2:C$99, 0), "")</f>
        <v/>
      </c>
      <c r="I15" s="7" t="s">
        <v>58</v>
      </c>
      <c r="J15" s="7">
        <v>3050</v>
      </c>
    </row>
    <row r="16" spans="1:10">
      <c r="D16" s="13" t="str">
        <f t="shared" si="0"/>
        <v/>
      </c>
      <c r="F16" s="9" t="str">
        <f>_xlfn.IFNA(IFERROR(IF(G16-RANK(B16,B$2:B$99,0)=0,"=",IF(G16-RANK(B16,B$2:B$99,0)&gt;0,"▲" &amp; G16-RANK(B16,B$2:B$99,0),"▼" &amp; ABS(G16-RANK(B16,B$2:B$99,0)))),""),"")</f>
        <v/>
      </c>
      <c r="G16" s="8" t="str">
        <f>_xlfn.IFNA(RANK(C16, C$2:C$99, 0), "")</f>
        <v/>
      </c>
      <c r="I16" s="7" t="s">
        <v>59</v>
      </c>
      <c r="J16" s="7">
        <v>3250</v>
      </c>
    </row>
    <row r="17" spans="4:7">
      <c r="D17" s="13" t="str">
        <f t="shared" si="0"/>
        <v/>
      </c>
      <c r="F17" s="9" t="str">
        <f>_xlfn.IFNA(IFERROR(IF(G17-RANK(B17,B$2:B$99,0)=0,"=",IF(G17-RANK(B17,B$2:B$99,0)&gt;0,"▲" &amp; G17-RANK(B17,B$2:B$99,0),"▼" &amp; ABS(G17-RANK(B17,B$2:B$99,0)))),""),"")</f>
        <v/>
      </c>
      <c r="G17" s="8" t="str">
        <f>_xlfn.IFNA(RANK(C17, C$2:C$99, 0), "")</f>
        <v/>
      </c>
    </row>
    <row r="18" spans="4:7">
      <c r="D18" s="13" t="str">
        <f t="shared" si="0"/>
        <v/>
      </c>
      <c r="F18" s="9" t="str">
        <f>_xlfn.IFNA(IFERROR(IF(G18-RANK(B18,B$2:B$99,0)=0,"=",IF(G18-RANK(B18,B$2:B$99,0)&gt;0,"▲" &amp; G18-RANK(B18,B$2:B$99,0),"▼" &amp; ABS(G18-RANK(B18,B$2:B$99,0)))),""),"")</f>
        <v/>
      </c>
      <c r="G18" s="8" t="str">
        <f>_xlfn.IFNA(RANK(C18, C$2:C$99, 0), "")</f>
        <v/>
      </c>
    </row>
    <row r="19" spans="4:7">
      <c r="D19" s="13" t="str">
        <f t="shared" si="0"/>
        <v/>
      </c>
      <c r="F19" s="9" t="str">
        <f>_xlfn.IFNA(IFERROR(IF(G19-RANK(B19,B$2:B$99,0)=0,"=",IF(G19-RANK(B19,B$2:B$99,0)&gt;0,"▲" &amp; G19-RANK(B19,B$2:B$99,0),"▼" &amp; ABS(G19-RANK(B19,B$2:B$99,0)))),""),"")</f>
        <v/>
      </c>
      <c r="G19" s="8" t="str">
        <f>_xlfn.IFNA(RANK(C19, C$2:C$99, 0), "")</f>
        <v/>
      </c>
    </row>
    <row r="20" spans="4:7">
      <c r="D20" s="13" t="str">
        <f t="shared" si="0"/>
        <v/>
      </c>
      <c r="F20" s="9" t="str">
        <f>_xlfn.IFNA(IFERROR(IF(G20-RANK(B20,B$2:B$99,0)=0,"=",IF(G20-RANK(B20,B$2:B$99,0)&gt;0,"▲" &amp; G20-RANK(B20,B$2:B$99,0),"▼" &amp; ABS(G20-RANK(B20,B$2:B$99,0)))),""),"")</f>
        <v/>
      </c>
      <c r="G20" s="8" t="str">
        <f>_xlfn.IFNA(RANK(C20, C$2:C$99, 0), "")</f>
        <v/>
      </c>
    </row>
    <row r="21" spans="4:7">
      <c r="D21" s="13" t="str">
        <f t="shared" si="0"/>
        <v/>
      </c>
      <c r="F21" s="9" t="str">
        <f>_xlfn.IFNA(IFERROR(IF(G21-RANK(B21,B$2:B$99,0)=0,"=",IF(G21-RANK(B21,B$2:B$99,0)&gt;0,"▲" &amp; G21-RANK(B21,B$2:B$99,0),"▼" &amp; ABS(G21-RANK(B21,B$2:B$99,0)))),""),"")</f>
        <v/>
      </c>
      <c r="G21" s="8" t="str">
        <f>_xlfn.IFNA(RANK(C21, C$2:C$99, 0), "")</f>
        <v/>
      </c>
    </row>
    <row r="22" spans="4:7">
      <c r="D22" s="13" t="str">
        <f t="shared" si="0"/>
        <v/>
      </c>
      <c r="F22" s="9" t="str">
        <f>_xlfn.IFNA(IFERROR(IF(G22-RANK(B22,B$2:B$99,0)=0,"=",IF(G22-RANK(B22,B$2:B$99,0)&gt;0,"▲" &amp; G22-RANK(B22,B$2:B$99,0),"▼" &amp; ABS(G22-RANK(B22,B$2:B$99,0)))),""),"")</f>
        <v/>
      </c>
      <c r="G22" s="8" t="str">
        <f>_xlfn.IFNA(RANK(C22, C$2:C$99, 0), "")</f>
        <v/>
      </c>
    </row>
    <row r="23" spans="4:7">
      <c r="D23" s="13" t="str">
        <f t="shared" si="0"/>
        <v/>
      </c>
      <c r="F23" s="9" t="str">
        <f>_xlfn.IFNA(IFERROR(IF(G23-RANK(B23,B$2:B$99,0)=0,"=",IF(G23-RANK(B23,B$2:B$99,0)&gt;0,"▲" &amp; G23-RANK(B23,B$2:B$99,0),"▼" &amp; ABS(G23-RANK(B23,B$2:B$99,0)))),""),"")</f>
        <v/>
      </c>
      <c r="G23" s="8" t="str">
        <f>_xlfn.IFNA(RANK(C23, C$2:C$99, 0), "")</f>
        <v/>
      </c>
    </row>
    <row r="24" spans="4:7">
      <c r="D24" s="13" t="str">
        <f t="shared" si="0"/>
        <v/>
      </c>
      <c r="F24" s="9" t="str">
        <f>_xlfn.IFNA(IFERROR(IF(G24-RANK(B24,B$2:B$99,0)=0,"=",IF(G24-RANK(B24,B$2:B$99,0)&gt;0,"▲" &amp; G24-RANK(B24,B$2:B$99,0),"▼" &amp; ABS(G24-RANK(B24,B$2:B$99,0)))),""),"")</f>
        <v/>
      </c>
      <c r="G24" s="8" t="str">
        <f>_xlfn.IFNA(RANK(C24, C$2:C$99, 0), "")</f>
        <v/>
      </c>
    </row>
    <row r="25" spans="4:7">
      <c r="D25" s="13" t="str">
        <f t="shared" si="0"/>
        <v/>
      </c>
      <c r="F25" s="9" t="str">
        <f>_xlfn.IFNA(IFERROR(IF(G25-RANK(B25,B$2:B$99,0)=0,"=",IF(G25-RANK(B25,B$2:B$99,0)&gt;0,"▲" &amp; G25-RANK(B25,B$2:B$99,0),"▼" &amp; ABS(G25-RANK(B25,B$2:B$99,0)))),""),"")</f>
        <v/>
      </c>
      <c r="G25" s="8" t="str">
        <f>_xlfn.IFNA(RANK(C25, C$2:C$99, 0), "")</f>
        <v/>
      </c>
    </row>
    <row r="26" spans="4:7">
      <c r="D26" s="13" t="str">
        <f t="shared" si="0"/>
        <v/>
      </c>
      <c r="F26" s="9" t="str">
        <f>_xlfn.IFNA(IFERROR(IF(G26-RANK(B26,B$2:B$99,0)=0,"=",IF(G26-RANK(B26,B$2:B$99,0)&gt;0,"▲" &amp; G26-RANK(B26,B$2:B$99,0),"▼" &amp; ABS(G26-RANK(B26,B$2:B$99,0)))),""),"")</f>
        <v/>
      </c>
      <c r="G26" s="8" t="str">
        <f>_xlfn.IFNA(RANK(C26, C$2:C$99, 0), "")</f>
        <v/>
      </c>
    </row>
    <row r="27" spans="4:7">
      <c r="D27" s="13" t="str">
        <f t="shared" si="0"/>
        <v/>
      </c>
      <c r="F27" s="9" t="str">
        <f>_xlfn.IFNA(IFERROR(IF(G27-RANK(B27,B$2:B$99,0)=0,"=",IF(G27-RANK(B27,B$2:B$99,0)&gt;0,"▲" &amp; G27-RANK(B27,B$2:B$99,0),"▼" &amp; ABS(G27-RANK(B27,B$2:B$99,0)))),""),"")</f>
        <v/>
      </c>
      <c r="G27" s="8" t="str">
        <f>_xlfn.IFNA(RANK(C27, C$2:C$99, 0), "")</f>
        <v/>
      </c>
    </row>
    <row r="28" spans="4:7">
      <c r="D28" s="13" t="str">
        <f t="shared" si="0"/>
        <v/>
      </c>
      <c r="F28" s="9" t="str">
        <f>_xlfn.IFNA(IFERROR(IF(G28-RANK(B28,B$2:B$99,0)=0,"=",IF(G28-RANK(B28,B$2:B$99,0)&gt;0,"▲" &amp; G28-RANK(B28,B$2:B$99,0),"▼" &amp; ABS(G28-RANK(B28,B$2:B$99,0)))),""),"")</f>
        <v/>
      </c>
      <c r="G28" s="8" t="str">
        <f>_xlfn.IFNA(RANK(C28, C$2:C$99, 0), "")</f>
        <v/>
      </c>
    </row>
    <row r="29" spans="4:7">
      <c r="D29" s="13" t="str">
        <f t="shared" si="0"/>
        <v/>
      </c>
      <c r="F29" s="9" t="str">
        <f>_xlfn.IFNA(IFERROR(IF(G29-RANK(B29,B$2:B$99,0)=0,"=",IF(G29-RANK(B29,B$2:B$99,0)&gt;0,"▲" &amp; G29-RANK(B29,B$2:B$99,0),"▼" &amp; ABS(G29-RANK(B29,B$2:B$99,0)))),""),"")</f>
        <v/>
      </c>
      <c r="G29" s="8" t="str">
        <f>_xlfn.IFNA(RANK(C29, C$2:C$99, 0), "")</f>
        <v/>
      </c>
    </row>
    <row r="30" spans="4:7">
      <c r="D30" s="13" t="str">
        <f t="shared" si="0"/>
        <v/>
      </c>
      <c r="F30" s="9" t="str">
        <f>_xlfn.IFNA(IFERROR(IF(G30-RANK(B30,B$2:B$99,0)=0,"=",IF(G30-RANK(B30,B$2:B$99,0)&gt;0,"▲" &amp; G30-RANK(B30,B$2:B$99,0),"▼" &amp; ABS(G30-RANK(B30,B$2:B$99,0)))),""),"")</f>
        <v/>
      </c>
      <c r="G30" s="8" t="str">
        <f>_xlfn.IFNA(RANK(C30, C$2:C$99, 0), "")</f>
        <v/>
      </c>
    </row>
    <row r="31" spans="4:7">
      <c r="D31" s="13" t="str">
        <f t="shared" si="0"/>
        <v/>
      </c>
      <c r="F31" s="9" t="str">
        <f>_xlfn.IFNA(IFERROR(IF(G31-RANK(B31,B$2:B$99,0)=0,"=",IF(G31-RANK(B31,B$2:B$99,0)&gt;0,"▲" &amp; G31-RANK(B31,B$2:B$99,0),"▼" &amp; ABS(G31-RANK(B31,B$2:B$99,0)))),""),"")</f>
        <v/>
      </c>
      <c r="G31" s="8" t="str">
        <f>_xlfn.IFNA(RANK(C31, C$2:C$99, 0), "")</f>
        <v/>
      </c>
    </row>
    <row r="32" spans="4:7">
      <c r="D32" s="13" t="str">
        <f t="shared" si="0"/>
        <v/>
      </c>
      <c r="F32" s="9" t="str">
        <f>_xlfn.IFNA(IFERROR(IF(G32-RANK(B32,B$2:B$99,0)=0,"=",IF(G32-RANK(B32,B$2:B$99,0)&gt;0,"▲" &amp; G32-RANK(B32,B$2:B$99,0),"▼" &amp; ABS(G32-RANK(B32,B$2:B$99,0)))),""),"")</f>
        <v/>
      </c>
      <c r="G32" s="8" t="str">
        <f>_xlfn.IFNA(RANK(C32, C$2:C$99, 0), "")</f>
        <v/>
      </c>
    </row>
    <row r="33" spans="4:7">
      <c r="D33" s="13" t="str">
        <f t="shared" si="0"/>
        <v/>
      </c>
      <c r="F33" s="9" t="str">
        <f>_xlfn.IFNA(IFERROR(IF(G33-RANK(B33,B$2:B$99,0)=0,"=",IF(G33-RANK(B33,B$2:B$99,0)&gt;0,"▲" &amp; G33-RANK(B33,B$2:B$99,0),"▼" &amp; ABS(G33-RANK(B33,B$2:B$99,0)))),""),"")</f>
        <v/>
      </c>
      <c r="G33" s="8" t="str">
        <f>_xlfn.IFNA(RANK(C33, C$2:C$99, 0), "")</f>
        <v/>
      </c>
    </row>
    <row r="34" spans="4:7">
      <c r="D34" s="13" t="str">
        <f t="shared" si="0"/>
        <v/>
      </c>
      <c r="F34" s="9" t="str">
        <f>_xlfn.IFNA(IFERROR(IF(G34-RANK(B34,B$2:B$99,0)=0,"=",IF(G34-RANK(B34,B$2:B$99,0)&gt;0,"▲" &amp; G34-RANK(B34,B$2:B$99,0),"▼" &amp; ABS(G34-RANK(B34,B$2:B$99,0)))),""),"")</f>
        <v/>
      </c>
      <c r="G34" s="8" t="str">
        <f>_xlfn.IFNA(RANK(C34, C$2:C$99, 0), "")</f>
        <v/>
      </c>
    </row>
    <row r="35" spans="4:7">
      <c r="D35" s="13" t="str">
        <f t="shared" si="0"/>
        <v/>
      </c>
      <c r="F35" s="9" t="str">
        <f>_xlfn.IFNA(IFERROR(IF(G35-RANK(B35,B$2:B$99,0)=0,"=",IF(G35-RANK(B35,B$2:B$99,0)&gt;0,"▲" &amp; G35-RANK(B35,B$2:B$99,0),"▼" &amp; ABS(G35-RANK(B35,B$2:B$99,0)))),""),"")</f>
        <v/>
      </c>
      <c r="G35" s="8" t="str">
        <f>_xlfn.IFNA(RANK(C35, C$2:C$99, 0), "")</f>
        <v/>
      </c>
    </row>
    <row r="36" spans="4:7">
      <c r="D36" s="13" t="str">
        <f t="shared" si="0"/>
        <v/>
      </c>
      <c r="F36" s="9" t="str">
        <f>_xlfn.IFNA(IFERROR(IF(G36-RANK(B36,B$2:B$99,0)=0,"=",IF(G36-RANK(B36,B$2:B$99,0)&gt;0,"▲" &amp; G36-RANK(B36,B$2:B$99,0),"▼" &amp; ABS(G36-RANK(B36,B$2:B$99,0)))),""),"")</f>
        <v/>
      </c>
      <c r="G36" s="8" t="str">
        <f>_xlfn.IFNA(RANK(C36, C$2:C$99, 0), "")</f>
        <v/>
      </c>
    </row>
    <row r="37" spans="4:7">
      <c r="D37" s="13" t="str">
        <f t="shared" si="0"/>
        <v/>
      </c>
      <c r="F37" s="9" t="str">
        <f>_xlfn.IFNA(IFERROR(IF(G37-RANK(B37,B$2:B$99,0)=0,"=",IF(G37-RANK(B37,B$2:B$99,0)&gt;0,"▲" &amp; G37-RANK(B37,B$2:B$99,0),"▼" &amp; ABS(G37-RANK(B37,B$2:B$99,0)))),""),"")</f>
        <v/>
      </c>
      <c r="G37" s="8" t="str">
        <f>_xlfn.IFNA(RANK(C37, C$2:C$99, 0), "")</f>
        <v/>
      </c>
    </row>
    <row r="38" spans="4:7">
      <c r="D38" s="13" t="str">
        <f t="shared" si="0"/>
        <v/>
      </c>
      <c r="F38" s="9" t="str">
        <f>_xlfn.IFNA(IFERROR(IF(G38-RANK(B38,B$2:B$99,0)=0,"=",IF(G38-RANK(B38,B$2:B$99,0)&gt;0,"▲" &amp; G38-RANK(B38,B$2:B$99,0),"▼" &amp; ABS(G38-RANK(B38,B$2:B$99,0)))),""),"")</f>
        <v/>
      </c>
      <c r="G38" s="8" t="str">
        <f>_xlfn.IFNA(RANK(C38, C$2:C$99, 0), "")</f>
        <v/>
      </c>
    </row>
    <row r="39" spans="4:7">
      <c r="D39" s="13" t="str">
        <f t="shared" si="0"/>
        <v/>
      </c>
      <c r="F39" s="9" t="str">
        <f>_xlfn.IFNA(IFERROR(IF(G39-RANK(B39,B$2:B$99,0)=0,"=",IF(G39-RANK(B39,B$2:B$99,0)&gt;0,"▲" &amp; G39-RANK(B39,B$2:B$99,0),"▼" &amp; ABS(G39-RANK(B39,B$2:B$99,0)))),""),"")</f>
        <v/>
      </c>
      <c r="G39" s="8" t="str">
        <f>_xlfn.IFNA(RANK(C39, C$2:C$99, 0), "")</f>
        <v/>
      </c>
    </row>
    <row r="40" spans="4:7">
      <c r="D40" s="13" t="str">
        <f t="shared" si="0"/>
        <v/>
      </c>
      <c r="F40" s="9" t="str">
        <f>_xlfn.IFNA(IFERROR(IF(G40-RANK(B40,B$2:B$99,0)=0,"=",IF(G40-RANK(B40,B$2:B$99,0)&gt;0,"▲" &amp; G40-RANK(B40,B$2:B$99,0),"▼" &amp; ABS(G40-RANK(B40,B$2:B$99,0)))),""),"")</f>
        <v/>
      </c>
      <c r="G40" s="8" t="str">
        <f>_xlfn.IFNA(RANK(C40, C$2:C$99, 0), "")</f>
        <v/>
      </c>
    </row>
    <row r="41" spans="4:7">
      <c r="D41" s="13" t="str">
        <f t="shared" si="0"/>
        <v/>
      </c>
      <c r="F41" s="9" t="str">
        <f>_xlfn.IFNA(IFERROR(IF(G41-RANK(B41,B$2:B$99,0)=0,"=",IF(G41-RANK(B41,B$2:B$99,0)&gt;0,"▲" &amp; G41-RANK(B41,B$2:B$99,0),"▼" &amp; ABS(G41-RANK(B41,B$2:B$99,0)))),""),"")</f>
        <v/>
      </c>
      <c r="G41" s="8" t="str">
        <f>_xlfn.IFNA(RANK(C41, C$2:C$99, 0), "")</f>
        <v/>
      </c>
    </row>
    <row r="42" spans="4:7">
      <c r="D42" s="13" t="str">
        <f t="shared" si="0"/>
        <v/>
      </c>
      <c r="F42" s="9" t="str">
        <f>_xlfn.IFNA(IFERROR(IF(G42-RANK(B42,B$2:B$99,0)=0,"=",IF(G42-RANK(B42,B$2:B$99,0)&gt;0,"▲" &amp; G42-RANK(B42,B$2:B$99,0),"▼" &amp; ABS(G42-RANK(B42,B$2:B$99,0)))),""),"")</f>
        <v/>
      </c>
      <c r="G42" s="8" t="str">
        <f>_xlfn.IFNA(RANK(C42, C$2:C$99, 0), "")</f>
        <v/>
      </c>
    </row>
    <row r="43" spans="4:7">
      <c r="D43" s="13" t="str">
        <f t="shared" si="0"/>
        <v/>
      </c>
      <c r="F43" s="9" t="str">
        <f>_xlfn.IFNA(IFERROR(IF(G43-RANK(B43,B$2:B$99,0)=0,"=",IF(G43-RANK(B43,B$2:B$99,0)&gt;0,"▲" &amp; G43-RANK(B43,B$2:B$99,0),"▼" &amp; ABS(G43-RANK(B43,B$2:B$99,0)))),""),"")</f>
        <v/>
      </c>
      <c r="G43" s="8" t="str">
        <f>_xlfn.IFNA(RANK(C43, C$2:C$99, 0), "")</f>
        <v/>
      </c>
    </row>
    <row r="44" spans="4:7">
      <c r="D44" s="13" t="str">
        <f t="shared" si="0"/>
        <v/>
      </c>
      <c r="F44" s="9" t="str">
        <f>_xlfn.IFNA(IFERROR(IF(G44-RANK(B44,B$2:B$99,0)=0,"=",IF(G44-RANK(B44,B$2:B$99,0)&gt;0,"▲" &amp; G44-RANK(B44,B$2:B$99,0),"▼" &amp; ABS(G44-RANK(B44,B$2:B$99,0)))),""),"")</f>
        <v/>
      </c>
      <c r="G44" s="8" t="str">
        <f>_xlfn.IFNA(RANK(C44, C$2:C$99, 0), "")</f>
        <v/>
      </c>
    </row>
    <row r="45" spans="4:7">
      <c r="D45" s="13" t="str">
        <f t="shared" si="0"/>
        <v/>
      </c>
      <c r="F45" s="9" t="str">
        <f>_xlfn.IFNA(IFERROR(IF(G45-RANK(B45,B$2:B$99,0)=0,"=",IF(G45-RANK(B45,B$2:B$99,0)&gt;0,"▲" &amp; G45-RANK(B45,B$2:B$99,0),"▼" &amp; ABS(G45-RANK(B45,B$2:B$99,0)))),""),"")</f>
        <v/>
      </c>
      <c r="G45" s="8" t="str">
        <f>_xlfn.IFNA(RANK(C45, C$2:C$99, 0), "")</f>
        <v/>
      </c>
    </row>
    <row r="46" spans="4:7">
      <c r="D46" s="13" t="str">
        <f t="shared" si="0"/>
        <v/>
      </c>
      <c r="F46" s="9" t="str">
        <f>_xlfn.IFNA(IFERROR(IF(G46-RANK(B46,B$2:B$99,0)=0,"=",IF(G46-RANK(B46,B$2:B$99,0)&gt;0,"▲" &amp; G46-RANK(B46,B$2:B$99,0),"▼" &amp; ABS(G46-RANK(B46,B$2:B$99,0)))),""),"")</f>
        <v/>
      </c>
      <c r="G46" s="8" t="str">
        <f>_xlfn.IFNA(RANK(C46, C$2:C$99, 0), "")</f>
        <v/>
      </c>
    </row>
    <row r="47" spans="4:7">
      <c r="D47" s="13" t="str">
        <f t="shared" si="0"/>
        <v/>
      </c>
      <c r="F47" s="9" t="str">
        <f>_xlfn.IFNA(IFERROR(IF(G47-RANK(B47,B$2:B$99,0)=0,"=",IF(G47-RANK(B47,B$2:B$99,0)&gt;0,"▲" &amp; G47-RANK(B47,B$2:B$99,0),"▼" &amp; ABS(G47-RANK(B47,B$2:B$99,0)))),""),"")</f>
        <v/>
      </c>
      <c r="G47" s="8" t="str">
        <f>_xlfn.IFNA(RANK(C47, C$2:C$99, 0), "")</f>
        <v/>
      </c>
    </row>
    <row r="48" spans="4:7">
      <c r="D48" s="13" t="str">
        <f t="shared" si="0"/>
        <v/>
      </c>
      <c r="F48" s="9" t="str">
        <f>_xlfn.IFNA(IFERROR(IF(G48-RANK(B48,B$2:B$99,0)=0,"=",IF(G48-RANK(B48,B$2:B$99,0)&gt;0,"▲" &amp; G48-RANK(B48,B$2:B$99,0),"▼" &amp; ABS(G48-RANK(B48,B$2:B$99,0)))),""),"")</f>
        <v/>
      </c>
      <c r="G48" s="8" t="str">
        <f>_xlfn.IFNA(RANK(C48, C$2:C$99, 0), "")</f>
        <v/>
      </c>
    </row>
    <row r="49" spans="4:7">
      <c r="D49" s="13" t="str">
        <f t="shared" si="0"/>
        <v/>
      </c>
      <c r="F49" s="9" t="str">
        <f>_xlfn.IFNA(IFERROR(IF(G49-RANK(B49,B$2:B$99,0)=0,"=",IF(G49-RANK(B49,B$2:B$99,0)&gt;0,"▲" &amp; G49-RANK(B49,B$2:B$99,0),"▼" &amp; ABS(G49-RANK(B49,B$2:B$99,0)))),""),"")</f>
        <v/>
      </c>
      <c r="G49" s="8" t="str">
        <f>_xlfn.IFNA(RANK(C49, C$2:C$99, 0), "")</f>
        <v/>
      </c>
    </row>
    <row r="50" spans="4:7">
      <c r="D50" s="13" t="str">
        <f t="shared" si="0"/>
        <v/>
      </c>
      <c r="F50" s="9" t="str">
        <f>_xlfn.IFNA(IFERROR(IF(G50-RANK(B50,B$2:B$99,0)=0,"=",IF(G50-RANK(B50,B$2:B$99,0)&gt;0,"▲" &amp; G50-RANK(B50,B$2:B$99,0),"▼" &amp; ABS(G50-RANK(B50,B$2:B$99,0)))),""),"")</f>
        <v/>
      </c>
      <c r="G50" s="8" t="str">
        <f>_xlfn.IFNA(RANK(C50, C$2:C$99, 0), "")</f>
        <v/>
      </c>
    </row>
    <row r="51" spans="4:7">
      <c r="D51" s="13" t="str">
        <f t="shared" si="0"/>
        <v/>
      </c>
      <c r="F51" s="9" t="str">
        <f>_xlfn.IFNA(IFERROR(IF(G51-RANK(B51,B$2:B$99,0)=0,"=",IF(G51-RANK(B51,B$2:B$99,0)&gt;0,"▲" &amp; G51-RANK(B51,B$2:B$99,0),"▼" &amp; ABS(G51-RANK(B51,B$2:B$99,0)))),""),"")</f>
        <v/>
      </c>
      <c r="G51" s="8" t="str">
        <f>_xlfn.IFNA(RANK(C51, C$2:C$99, 0), "")</f>
        <v/>
      </c>
    </row>
    <row r="52" spans="4:7">
      <c r="D52" s="13" t="str">
        <f t="shared" si="0"/>
        <v/>
      </c>
      <c r="F52" s="9" t="str">
        <f>_xlfn.IFNA(IFERROR(IF(G52-RANK(B52,B$2:B$99,0)=0,"=",IF(G52-RANK(B52,B$2:B$99,0)&gt;0,"▲" &amp; G52-RANK(B52,B$2:B$99,0),"▼" &amp; ABS(G52-RANK(B52,B$2:B$99,0)))),""),"")</f>
        <v/>
      </c>
      <c r="G52" s="8" t="str">
        <f>_xlfn.IFNA(RANK(C52, C$2:C$99, 0), "")</f>
        <v/>
      </c>
    </row>
    <row r="53" spans="4:7">
      <c r="D53" s="13" t="str">
        <f t="shared" si="0"/>
        <v/>
      </c>
      <c r="F53" s="9" t="str">
        <f>_xlfn.IFNA(IFERROR(IF(G53-RANK(B53,B$2:B$99,0)=0,"=",IF(G53-RANK(B53,B$2:B$99,0)&gt;0,"▲" &amp; G53-RANK(B53,B$2:B$99,0),"▼" &amp; ABS(G53-RANK(B53,B$2:B$99,0)))),""),"")</f>
        <v/>
      </c>
      <c r="G53" s="8" t="str">
        <f>_xlfn.IFNA(RANK(C53, C$2:C$99, 0), "")</f>
        <v/>
      </c>
    </row>
    <row r="54" spans="4:7">
      <c r="D54" s="13" t="str">
        <f t="shared" si="0"/>
        <v/>
      </c>
      <c r="F54" s="9" t="str">
        <f>_xlfn.IFNA(IFERROR(IF(G54-RANK(B54,B$2:B$99,0)=0,"=",IF(G54-RANK(B54,B$2:B$99,0)&gt;0,"▲" &amp; G54-RANK(B54,B$2:B$99,0),"▼" &amp; ABS(G54-RANK(B54,B$2:B$99,0)))),""),"")</f>
        <v/>
      </c>
      <c r="G54" s="8" t="str">
        <f>_xlfn.IFNA(RANK(C54, C$2:C$99, 0), "")</f>
        <v/>
      </c>
    </row>
    <row r="55" spans="4:7">
      <c r="D55" s="13" t="str">
        <f t="shared" si="0"/>
        <v/>
      </c>
      <c r="F55" s="9" t="str">
        <f>_xlfn.IFNA(IFERROR(IF(G55-RANK(B55,B$2:B$99,0)=0,"=",IF(G55-RANK(B55,B$2:B$99,0)&gt;0,"▲" &amp; G55-RANK(B55,B$2:B$99,0),"▼" &amp; ABS(G55-RANK(B55,B$2:B$99,0)))),""),"")</f>
        <v/>
      </c>
      <c r="G55" s="8" t="str">
        <f>_xlfn.IFNA(RANK(C55, C$2:C$99, 0), "")</f>
        <v/>
      </c>
    </row>
    <row r="56" spans="4:7">
      <c r="D56" s="13" t="str">
        <f t="shared" si="0"/>
        <v/>
      </c>
      <c r="F56" s="9" t="str">
        <f>_xlfn.IFNA(IFERROR(IF(G56-RANK(B56,B$2:B$99,0)=0,"=",IF(G56-RANK(B56,B$2:B$99,0)&gt;0,"▲" &amp; G56-RANK(B56,B$2:B$99,0),"▼" &amp; ABS(G56-RANK(B56,B$2:B$99,0)))),""),"")</f>
        <v/>
      </c>
      <c r="G56" s="8" t="str">
        <f>_xlfn.IFNA(RANK(C56, C$2:C$99, 0), "")</f>
        <v/>
      </c>
    </row>
    <row r="57" spans="4:7">
      <c r="D57" s="13" t="str">
        <f t="shared" si="0"/>
        <v/>
      </c>
      <c r="F57" s="9" t="str">
        <f>_xlfn.IFNA(IFERROR(IF(G57-RANK(B57,B$2:B$99,0)=0,"=",IF(G57-RANK(B57,B$2:B$99,0)&gt;0,"▲" &amp; G57-RANK(B57,B$2:B$99,0),"▼" &amp; ABS(G57-RANK(B57,B$2:B$99,0)))),""),"")</f>
        <v/>
      </c>
      <c r="G57" s="8" t="str">
        <f>_xlfn.IFNA(RANK(C57, C$2:C$99, 0), "")</f>
        <v/>
      </c>
    </row>
    <row r="58" spans="4:7">
      <c r="D58" s="13" t="str">
        <f t="shared" si="0"/>
        <v/>
      </c>
      <c r="F58" s="9" t="str">
        <f>_xlfn.IFNA(IFERROR(IF(G58-RANK(B58,B$2:B$99,0)=0,"=",IF(G58-RANK(B58,B$2:B$99,0)&gt;0,"▲" &amp; G58-RANK(B58,B$2:B$99,0),"▼" &amp; ABS(G58-RANK(B58,B$2:B$99,0)))),""),"")</f>
        <v/>
      </c>
      <c r="G58" s="8" t="str">
        <f>_xlfn.IFNA(RANK(C58, C$2:C$99, 0), "")</f>
        <v/>
      </c>
    </row>
    <row r="59" spans="4:7">
      <c r="D59" s="13" t="str">
        <f t="shared" si="0"/>
        <v/>
      </c>
      <c r="F59" s="9" t="str">
        <f>_xlfn.IFNA(IFERROR(IF(G59-RANK(B59,B$2:B$99,0)=0,"=",IF(G59-RANK(B59,B$2:B$99,0)&gt;0,"▲" &amp; G59-RANK(B59,B$2:B$99,0),"▼" &amp; ABS(G59-RANK(B59,B$2:B$99,0)))),""),"")</f>
        <v/>
      </c>
      <c r="G59" s="8" t="str">
        <f>_xlfn.IFNA(RANK(C59, C$2:C$99, 0), "")</f>
        <v/>
      </c>
    </row>
    <row r="60" spans="4:7">
      <c r="D60" s="13" t="str">
        <f t="shared" si="0"/>
        <v/>
      </c>
      <c r="F60" s="9" t="str">
        <f>_xlfn.IFNA(IFERROR(IF(G60-RANK(B60,B$2:B$99,0)=0,"=",IF(G60-RANK(B60,B$2:B$99,0)&gt;0,"▲" &amp; G60-RANK(B60,B$2:B$99,0),"▼" &amp; ABS(G60-RANK(B60,B$2:B$99,0)))),""),"")</f>
        <v/>
      </c>
      <c r="G60" s="8" t="str">
        <f>_xlfn.IFNA(RANK(C60, C$2:C$99, 0), "")</f>
        <v/>
      </c>
    </row>
    <row r="61" spans="4:7">
      <c r="D61" s="13" t="str">
        <f t="shared" si="0"/>
        <v/>
      </c>
      <c r="F61" s="9" t="str">
        <f>_xlfn.IFNA(IFERROR(IF(G61-RANK(B61,B$2:B$99,0)=0,"=",IF(G61-RANK(B61,B$2:B$99,0)&gt;0,"▲" &amp; G61-RANK(B61,B$2:B$99,0),"▼" &amp; ABS(G61-RANK(B61,B$2:B$99,0)))),""),"")</f>
        <v/>
      </c>
      <c r="G61" s="8" t="str">
        <f>_xlfn.IFNA(RANK(C61, C$2:C$99, 0), "")</f>
        <v/>
      </c>
    </row>
    <row r="62" spans="4:7">
      <c r="D62" s="13" t="str">
        <f t="shared" si="0"/>
        <v/>
      </c>
      <c r="F62" s="9" t="str">
        <f>_xlfn.IFNA(IFERROR(IF(G62-RANK(B62,B$2:B$99,0)=0,"=",IF(G62-RANK(B62,B$2:B$99,0)&gt;0,"▲" &amp; G62-RANK(B62,B$2:B$99,0),"▼" &amp; ABS(G62-RANK(B62,B$2:B$99,0)))),""),"")</f>
        <v/>
      </c>
      <c r="G62" s="8" t="str">
        <f>_xlfn.IFNA(RANK(C62, C$2:C$99, 0), "")</f>
        <v/>
      </c>
    </row>
    <row r="63" spans="4:7">
      <c r="D63" s="13" t="str">
        <f t="shared" si="0"/>
        <v/>
      </c>
      <c r="F63" s="9" t="str">
        <f>_xlfn.IFNA(IFERROR(IF(G63-RANK(B63,B$2:B$99,0)=0,"=",IF(G63-RANK(B63,B$2:B$99,0)&gt;0,"▲" &amp; G63-RANK(B63,B$2:B$99,0),"▼" &amp; ABS(G63-RANK(B63,B$2:B$99,0)))),""),"")</f>
        <v/>
      </c>
      <c r="G63" s="8" t="str">
        <f>_xlfn.IFNA(RANK(C63, C$2:C$99, 0), "")</f>
        <v/>
      </c>
    </row>
    <row r="64" spans="4:7">
      <c r="D64" s="13" t="str">
        <f t="shared" si="0"/>
        <v/>
      </c>
      <c r="F64" s="9" t="str">
        <f>_xlfn.IFNA(IFERROR(IF(G64-RANK(B64,B$2:B$99,0)=0,"=",IF(G64-RANK(B64,B$2:B$99,0)&gt;0,"▲" &amp; G64-RANK(B64,B$2:B$99,0),"▼" &amp; ABS(G64-RANK(B64,B$2:B$99,0)))),""),"")</f>
        <v/>
      </c>
      <c r="G64" s="8" t="str">
        <f>_xlfn.IFNA(RANK(C64, C$2:C$99, 0), "")</f>
        <v/>
      </c>
    </row>
    <row r="65" spans="4:7">
      <c r="D65" s="13" t="str">
        <f t="shared" si="0"/>
        <v/>
      </c>
      <c r="F65" s="9" t="str">
        <f>_xlfn.IFNA(IFERROR(IF(G65-RANK(B65,B$2:B$99,0)=0,"=",IF(G65-RANK(B65,B$2:B$99,0)&gt;0,"▲" &amp; G65-RANK(B65,B$2:B$99,0),"▼" &amp; ABS(G65-RANK(B65,B$2:B$99,0)))),""),"")</f>
        <v/>
      </c>
      <c r="G65" s="8" t="str">
        <f>_xlfn.IFNA(RANK(C65, C$2:C$99, 0), "")</f>
        <v/>
      </c>
    </row>
    <row r="66" spans="4:7">
      <c r="D66" s="13" t="str">
        <f t="shared" ref="D66:D99" si="1">_xlfn.IFNA(IF(B66-C66 = 0, IF(AND(B66 = 0, C66 = 0), "", "="), IF(B66-C66&gt;0,"▲" &amp; ROUND(B66-C66, 0),"▼" &amp; ABS(ROUND(B66-C66, 0)))),"")</f>
        <v/>
      </c>
      <c r="F66" s="9" t="str">
        <f>_xlfn.IFNA(IFERROR(IF(G66-RANK(B66,B$2:B$99,0)=0,"=",IF(G66-RANK(B66,B$2:B$99,0)&gt;0,"▲" &amp; G66-RANK(B66,B$2:B$99,0),"▼" &amp; ABS(G66-RANK(B66,B$2:B$99,0)))),""),"")</f>
        <v/>
      </c>
      <c r="G66" s="8" t="str">
        <f>_xlfn.IFNA(RANK(C66, C$2:C$99, 0), "")</f>
        <v/>
      </c>
    </row>
    <row r="67" spans="4:7">
      <c r="D67" s="13" t="str">
        <f t="shared" si="1"/>
        <v/>
      </c>
      <c r="F67" s="9" t="str">
        <f>_xlfn.IFNA(IFERROR(IF(G67-RANK(B67,B$2:B$99,0)=0,"=",IF(G67-RANK(B67,B$2:B$99,0)&gt;0,"▲" &amp; G67-RANK(B67,B$2:B$99,0),"▼" &amp; ABS(G67-RANK(B67,B$2:B$99,0)))),""),"")</f>
        <v/>
      </c>
      <c r="G67" s="8" t="str">
        <f>_xlfn.IFNA(RANK(C67, C$2:C$99, 0), "")</f>
        <v/>
      </c>
    </row>
    <row r="68" spans="4:7">
      <c r="D68" s="13" t="str">
        <f t="shared" si="1"/>
        <v/>
      </c>
      <c r="F68" s="9" t="str">
        <f>_xlfn.IFNA(IFERROR(IF(G68-RANK(B68,B$2:B$99,0)=0,"=",IF(G68-RANK(B68,B$2:B$99,0)&gt;0,"▲" &amp; G68-RANK(B68,B$2:B$99,0),"▼" &amp; ABS(G68-RANK(B68,B$2:B$99,0)))),""),"")</f>
        <v/>
      </c>
      <c r="G68" s="8" t="str">
        <f>_xlfn.IFNA(RANK(C68, C$2:C$99, 0), "")</f>
        <v/>
      </c>
    </row>
    <row r="69" spans="4:7">
      <c r="D69" s="13" t="str">
        <f t="shared" si="1"/>
        <v/>
      </c>
      <c r="F69" s="9" t="str">
        <f>_xlfn.IFNA(IFERROR(IF(G69-RANK(B69,B$2:B$99,0)=0,"=",IF(G69-RANK(B69,B$2:B$99,0)&gt;0,"▲" &amp; G69-RANK(B69,B$2:B$99,0),"▼" &amp; ABS(G69-RANK(B69,B$2:B$99,0)))),""),"")</f>
        <v/>
      </c>
      <c r="G69" s="8" t="str">
        <f>_xlfn.IFNA(RANK(C69, C$2:C$99, 0), "")</f>
        <v/>
      </c>
    </row>
    <row r="70" spans="4:7">
      <c r="D70" s="13" t="str">
        <f t="shared" si="1"/>
        <v/>
      </c>
      <c r="F70" s="9" t="str">
        <f>_xlfn.IFNA(IFERROR(IF(G70-RANK(B70,B$2:B$99,0)=0,"=",IF(G70-RANK(B70,B$2:B$99,0)&gt;0,"▲" &amp; G70-RANK(B70,B$2:B$99,0),"▼" &amp; ABS(G70-RANK(B70,B$2:B$99,0)))),""),"")</f>
        <v/>
      </c>
      <c r="G70" s="8" t="str">
        <f>_xlfn.IFNA(RANK(C70, C$2:C$99, 0), "")</f>
        <v/>
      </c>
    </row>
    <row r="71" spans="4:7">
      <c r="D71" s="13" t="str">
        <f t="shared" si="1"/>
        <v/>
      </c>
      <c r="F71" s="9" t="str">
        <f>_xlfn.IFNA(IFERROR(IF(G71-RANK(B71,B$2:B$99,0)=0,"=",IF(G71-RANK(B71,B$2:B$99,0)&gt;0,"▲" &amp; G71-RANK(B71,B$2:B$99,0),"▼" &amp; ABS(G71-RANK(B71,B$2:B$99,0)))),""),"")</f>
        <v/>
      </c>
      <c r="G71" s="8" t="str">
        <f>_xlfn.IFNA(RANK(C71, C$2:C$99, 0), "")</f>
        <v/>
      </c>
    </row>
    <row r="72" spans="4:7">
      <c r="D72" s="13" t="str">
        <f t="shared" si="1"/>
        <v/>
      </c>
      <c r="F72" s="9" t="str">
        <f>_xlfn.IFNA(IFERROR(IF(G72-RANK(B72,B$2:B$99,0)=0,"=",IF(G72-RANK(B72,B$2:B$99,0)&gt;0,"▲" &amp; G72-RANK(B72,B$2:B$99,0),"▼" &amp; ABS(G72-RANK(B72,B$2:B$99,0)))),""),"")</f>
        <v/>
      </c>
      <c r="G72" s="8" t="str">
        <f>_xlfn.IFNA(RANK(C72, C$2:C$99, 0), "")</f>
        <v/>
      </c>
    </row>
    <row r="73" spans="4:7">
      <c r="D73" s="13" t="str">
        <f t="shared" si="1"/>
        <v/>
      </c>
      <c r="F73" s="9" t="str">
        <f>_xlfn.IFNA(IFERROR(IF(G73-RANK(B73,B$2:B$99,0)=0,"=",IF(G73-RANK(B73,B$2:B$99,0)&gt;0,"▲" &amp; G73-RANK(B73,B$2:B$99,0),"▼" &amp; ABS(G73-RANK(B73,B$2:B$99,0)))),""),"")</f>
        <v/>
      </c>
      <c r="G73" s="8" t="str">
        <f>_xlfn.IFNA(RANK(C73, C$2:C$99, 0), "")</f>
        <v/>
      </c>
    </row>
    <row r="74" spans="4:7">
      <c r="D74" s="13" t="str">
        <f t="shared" si="1"/>
        <v/>
      </c>
      <c r="F74" s="9" t="str">
        <f>_xlfn.IFNA(IFERROR(IF(G74-RANK(B74,B$2:B$99,0)=0,"=",IF(G74-RANK(B74,B$2:B$99,0)&gt;0,"▲" &amp; G74-RANK(B74,B$2:B$99,0),"▼" &amp; ABS(G74-RANK(B74,B$2:B$99,0)))),""),"")</f>
        <v/>
      </c>
      <c r="G74" s="8" t="str">
        <f>_xlfn.IFNA(RANK(C74, C$2:C$99, 0), "")</f>
        <v/>
      </c>
    </row>
    <row r="75" spans="4:7">
      <c r="D75" s="13" t="str">
        <f t="shared" si="1"/>
        <v/>
      </c>
      <c r="F75" s="9" t="str">
        <f>_xlfn.IFNA(IFERROR(IF(G75-RANK(B75,B$2:B$99,0)=0,"=",IF(G75-RANK(B75,B$2:B$99,0)&gt;0,"▲" &amp; G75-RANK(B75,B$2:B$99,0),"▼" &amp; ABS(G75-RANK(B75,B$2:B$99,0)))),""),"")</f>
        <v/>
      </c>
      <c r="G75" s="8" t="str">
        <f>_xlfn.IFNA(RANK(C75, C$2:C$99, 0), "")</f>
        <v/>
      </c>
    </row>
    <row r="76" spans="4:7">
      <c r="D76" s="13" t="str">
        <f t="shared" si="1"/>
        <v/>
      </c>
      <c r="F76" s="9" t="str">
        <f>_xlfn.IFNA(IFERROR(IF(G76-RANK(B76,B$2:B$99,0)=0,"=",IF(G76-RANK(B76,B$2:B$99,0)&gt;0,"▲" &amp; G76-RANK(B76,B$2:B$99,0),"▼" &amp; ABS(G76-RANK(B76,B$2:B$99,0)))),""),"")</f>
        <v/>
      </c>
      <c r="G76" s="8" t="str">
        <f>_xlfn.IFNA(RANK(C76, C$2:C$99, 0), "")</f>
        <v/>
      </c>
    </row>
    <row r="77" spans="4:7">
      <c r="D77" s="13" t="str">
        <f t="shared" si="1"/>
        <v/>
      </c>
      <c r="F77" s="9" t="str">
        <f>_xlfn.IFNA(IFERROR(IF(G77-RANK(B77,B$2:B$99,0)=0,"=",IF(G77-RANK(B77,B$2:B$99,0)&gt;0,"▲" &amp; G77-RANK(B77,B$2:B$99,0),"▼" &amp; ABS(G77-RANK(B77,B$2:B$99,0)))),""),"")</f>
        <v/>
      </c>
      <c r="G77" s="8" t="str">
        <f>_xlfn.IFNA(RANK(C77, C$2:C$99, 0), "")</f>
        <v/>
      </c>
    </row>
    <row r="78" spans="4:7">
      <c r="D78" s="13" t="str">
        <f t="shared" si="1"/>
        <v/>
      </c>
      <c r="F78" s="9" t="str">
        <f>_xlfn.IFNA(IFERROR(IF(G78-RANK(B78,B$2:B$99,0)=0,"=",IF(G78-RANK(B78,B$2:B$99,0)&gt;0,"▲" &amp; G78-RANK(B78,B$2:B$99,0),"▼" &amp; ABS(G78-RANK(B78,B$2:B$99,0)))),""),"")</f>
        <v/>
      </c>
      <c r="G78" s="8" t="str">
        <f>_xlfn.IFNA(RANK(C78, C$2:C$99, 0), "")</f>
        <v/>
      </c>
    </row>
    <row r="79" spans="4:7">
      <c r="D79" s="13" t="str">
        <f t="shared" si="1"/>
        <v/>
      </c>
      <c r="F79" s="9" t="str">
        <f>_xlfn.IFNA(IFERROR(IF(G79-RANK(B79,B$2:B$99,0)=0,"=",IF(G79-RANK(B79,B$2:B$99,0)&gt;0,"▲" &amp; G79-RANK(B79,B$2:B$99,0),"▼" &amp; ABS(G79-RANK(B79,B$2:B$99,0)))),""),"")</f>
        <v/>
      </c>
      <c r="G79" s="8" t="str">
        <f>_xlfn.IFNA(RANK(C79, C$2:C$99, 0), "")</f>
        <v/>
      </c>
    </row>
    <row r="80" spans="4:7">
      <c r="D80" s="13" t="str">
        <f t="shared" si="1"/>
        <v/>
      </c>
      <c r="F80" s="9" t="str">
        <f>_xlfn.IFNA(IFERROR(IF(G80-RANK(B80,B$2:B$99,0)=0,"=",IF(G80-RANK(B80,B$2:B$99,0)&gt;0,"▲" &amp; G80-RANK(B80,B$2:B$99,0),"▼" &amp; ABS(G80-RANK(B80,B$2:B$99,0)))),""),"")</f>
        <v/>
      </c>
      <c r="G80" s="8" t="str">
        <f>_xlfn.IFNA(RANK(C80, C$2:C$99, 0), "")</f>
        <v/>
      </c>
    </row>
    <row r="81" spans="4:7">
      <c r="D81" s="13" t="str">
        <f t="shared" si="1"/>
        <v/>
      </c>
      <c r="F81" s="9" t="str">
        <f>_xlfn.IFNA(IFERROR(IF(G81-RANK(B81,B$2:B$99,0)=0,"=",IF(G81-RANK(B81,B$2:B$99,0)&gt;0,"▲" &amp; G81-RANK(B81,B$2:B$99,0),"▼" &amp; ABS(G81-RANK(B81,B$2:B$99,0)))),""),"")</f>
        <v/>
      </c>
      <c r="G81" s="8" t="str">
        <f>_xlfn.IFNA(RANK(C81, C$2:C$99, 0), "")</f>
        <v/>
      </c>
    </row>
    <row r="82" spans="4:7">
      <c r="D82" s="13" t="str">
        <f t="shared" si="1"/>
        <v/>
      </c>
      <c r="F82" s="9" t="str">
        <f>_xlfn.IFNA(IFERROR(IF(G82-RANK(B82,B$2:B$99,0)=0,"=",IF(G82-RANK(B82,B$2:B$99,0)&gt;0,"▲" &amp; G82-RANK(B82,B$2:B$99,0),"▼" &amp; ABS(G82-RANK(B82,B$2:B$99,0)))),""),"")</f>
        <v/>
      </c>
      <c r="G82" s="8" t="str">
        <f>_xlfn.IFNA(RANK(C82, C$2:C$99, 0), "")</f>
        <v/>
      </c>
    </row>
    <row r="83" spans="4:7">
      <c r="D83" s="13" t="str">
        <f t="shared" si="1"/>
        <v/>
      </c>
      <c r="F83" s="9" t="str">
        <f>_xlfn.IFNA(IFERROR(IF(G83-RANK(B83,B$2:B$99,0)=0,"=",IF(G83-RANK(B83,B$2:B$99,0)&gt;0,"▲" &amp; G83-RANK(B83,B$2:B$99,0),"▼" &amp; ABS(G83-RANK(B83,B$2:B$99,0)))),""),"")</f>
        <v/>
      </c>
      <c r="G83" s="8" t="str">
        <f>_xlfn.IFNA(RANK(C83, C$2:C$99, 0), "")</f>
        <v/>
      </c>
    </row>
    <row r="84" spans="4:7">
      <c r="D84" s="13" t="str">
        <f t="shared" si="1"/>
        <v/>
      </c>
      <c r="F84" s="9" t="str">
        <f>_xlfn.IFNA(IFERROR(IF(G84-RANK(B84,B$2:B$99,0)=0,"=",IF(G84-RANK(B84,B$2:B$99,0)&gt;0,"▲" &amp; G84-RANK(B84,B$2:B$99,0),"▼" &amp; ABS(G84-RANK(B84,B$2:B$99,0)))),""),"")</f>
        <v/>
      </c>
      <c r="G84" s="8" t="str">
        <f>_xlfn.IFNA(RANK(C84, C$2:C$99, 0), "")</f>
        <v/>
      </c>
    </row>
    <row r="85" spans="4:7">
      <c r="D85" s="13" t="str">
        <f t="shared" si="1"/>
        <v/>
      </c>
      <c r="F85" s="9" t="str">
        <f>_xlfn.IFNA(IFERROR(IF(G85-RANK(B85,B$2:B$99,0)=0,"=",IF(G85-RANK(B85,B$2:B$99,0)&gt;0,"▲" &amp; G85-RANK(B85,B$2:B$99,0),"▼" &amp; ABS(G85-RANK(B85,B$2:B$99,0)))),""),"")</f>
        <v/>
      </c>
      <c r="G85" s="8" t="str">
        <f>_xlfn.IFNA(RANK(C85, C$2:C$99, 0), "")</f>
        <v/>
      </c>
    </row>
    <row r="86" spans="4:7">
      <c r="D86" s="13" t="str">
        <f t="shared" si="1"/>
        <v/>
      </c>
      <c r="F86" s="9" t="str">
        <f>_xlfn.IFNA(IFERROR(IF(G86-RANK(B86,B$2:B$99,0)=0,"=",IF(G86-RANK(B86,B$2:B$99,0)&gt;0,"▲" &amp; G86-RANK(B86,B$2:B$99,0),"▼" &amp; ABS(G86-RANK(B86,B$2:B$99,0)))),""),"")</f>
        <v/>
      </c>
    </row>
    <row r="87" spans="4:7">
      <c r="D87" s="13" t="str">
        <f t="shared" si="1"/>
        <v/>
      </c>
      <c r="F87" s="9" t="str">
        <f>_xlfn.IFNA(IFERROR(IF(G87-RANK(B87,B$2:B$99,0)=0,"=",IF(G87-RANK(B87,B$2:B$99,0)&gt;0,"▲" &amp; G87-RANK(B87,B$2:B$99,0),"▼" &amp; ABS(G87-RANK(B87,B$2:B$99,0)))),""),"")</f>
        <v/>
      </c>
    </row>
    <row r="88" spans="4:7">
      <c r="D88" s="13" t="str">
        <f t="shared" si="1"/>
        <v/>
      </c>
      <c r="F88" s="9" t="str">
        <f>_xlfn.IFNA(IFERROR(IF(G88-RANK(B88,B$2:B$99,0)=0,"=",IF(G88-RANK(B88,B$2:B$99,0)&gt;0,"▲" &amp; G88-RANK(B88,B$2:B$99,0),"▼" &amp; ABS(G88-RANK(B88,B$2:B$99,0)))),""),"")</f>
        <v/>
      </c>
    </row>
    <row r="89" spans="4:7">
      <c r="D89" s="13" t="str">
        <f t="shared" si="1"/>
        <v/>
      </c>
      <c r="F89" s="9" t="str">
        <f>_xlfn.IFNA(IFERROR(IF(G89-RANK(B89,B$2:B$99,0)=0,"=",IF(G89-RANK(B89,B$2:B$99,0)&gt;0,"▲" &amp; G89-RANK(B89,B$2:B$99,0),"▼" &amp; ABS(G89-RANK(B89,B$2:B$99,0)))),""),"")</f>
        <v/>
      </c>
    </row>
    <row r="90" spans="4:7">
      <c r="D90" s="13" t="str">
        <f t="shared" si="1"/>
        <v/>
      </c>
      <c r="F90" s="9" t="str">
        <f>_xlfn.IFNA(IFERROR(IF(G90-RANK(B90,B$2:B$99,0)=0,"=",IF(G90-RANK(B90,B$2:B$99,0)&gt;0,"▲" &amp; G90-RANK(B90,B$2:B$99,0),"▼" &amp; ABS(G90-RANK(B90,B$2:B$99,0)))),""),"")</f>
        <v/>
      </c>
    </row>
    <row r="91" spans="4:7">
      <c r="D91" s="13" t="str">
        <f t="shared" si="1"/>
        <v/>
      </c>
      <c r="F91" s="9" t="str">
        <f>_xlfn.IFNA(IFERROR(IF(G91-RANK(B91,B$2:B$99,0)=0,"=",IF(G91-RANK(B91,B$2:B$99,0)&gt;0,"▲" &amp; G91-RANK(B91,B$2:B$99,0),"▼" &amp; ABS(G91-RANK(B91,B$2:B$99,0)))),""),"")</f>
        <v/>
      </c>
    </row>
    <row r="92" spans="4:7">
      <c r="D92" s="13" t="str">
        <f t="shared" si="1"/>
        <v/>
      </c>
      <c r="F92" s="9" t="str">
        <f>_xlfn.IFNA(IFERROR(IF(G92-RANK(B92,B$2:B$99,0)=0,"=",IF(G92-RANK(B92,B$2:B$99,0)&gt;0,"▲" &amp; G92-RANK(B92,B$2:B$99,0),"▼" &amp; ABS(G92-RANK(B92,B$2:B$99,0)))),""),"")</f>
        <v/>
      </c>
    </row>
    <row r="93" spans="4:7">
      <c r="D93" s="13" t="str">
        <f t="shared" si="1"/>
        <v/>
      </c>
      <c r="F93" s="9" t="str">
        <f>_xlfn.IFNA(IFERROR(IF(G93-RANK(B93,B$2:B$99,0)=0,"=",IF(G93-RANK(B93,B$2:B$99,0)&gt;0,"▲" &amp; G93-RANK(B93,B$2:B$99,0),"▼" &amp; ABS(G93-RANK(B93,B$2:B$99,0)))),""),"")</f>
        <v/>
      </c>
    </row>
    <row r="94" spans="4:7">
      <c r="D94" s="13" t="str">
        <f t="shared" si="1"/>
        <v/>
      </c>
      <c r="F94" s="9" t="str">
        <f>_xlfn.IFNA(IFERROR(IF(G94-RANK(B94,B$2:B$99,0)=0,"=",IF(G94-RANK(B94,B$2:B$99,0)&gt;0,"▲" &amp; G94-RANK(B94,B$2:B$99,0),"▼" &amp; ABS(G94-RANK(B94,B$2:B$99,0)))),""),"")</f>
        <v/>
      </c>
    </row>
    <row r="95" spans="4:7">
      <c r="D95" s="13" t="str">
        <f t="shared" si="1"/>
        <v/>
      </c>
      <c r="F95" s="9" t="str">
        <f>_xlfn.IFNA(IFERROR(IF(G95-RANK(B95,B$2:B$99,0)=0,"=",IF(G95-RANK(B95,B$2:B$99,0)&gt;0,"▲" &amp; G95-RANK(B95,B$2:B$99,0),"▼" &amp; ABS(G95-RANK(B95,B$2:B$99,0)))),""),"")</f>
        <v/>
      </c>
    </row>
    <row r="96" spans="4:7">
      <c r="D96" s="13" t="str">
        <f t="shared" si="1"/>
        <v/>
      </c>
      <c r="F96" s="9" t="str">
        <f>_xlfn.IFNA(IFERROR(IF(G96-RANK(B96,B$2:B$99,0)=0,"=",IF(G96-RANK(B96,B$2:B$99,0)&gt;0,"▲" &amp; G96-RANK(B96,B$2:B$99,0),"▼" &amp; ABS(G96-RANK(B96,B$2:B$99,0)))),""),"")</f>
        <v/>
      </c>
    </row>
    <row r="97" spans="4:6">
      <c r="D97" s="13" t="str">
        <f t="shared" si="1"/>
        <v/>
      </c>
      <c r="F97" s="9" t="str">
        <f>_xlfn.IFNA(IFERROR(IF(G97-RANK(B97,B$2:B$99,0)=0,"=",IF(G97-RANK(B97,B$2:B$99,0)&gt;0,"▲" &amp; G97-RANK(B97,B$2:B$99,0),"▼" &amp; ABS(G97-RANK(B97,B$2:B$99,0)))),""),"")</f>
        <v/>
      </c>
    </row>
    <row r="98" spans="4:6">
      <c r="D98" s="13" t="str">
        <f t="shared" si="1"/>
        <v/>
      </c>
      <c r="F98" s="9" t="str">
        <f>_xlfn.IFNA(IFERROR(IF(G98-RANK(B98,B$2:B$99,0)=0,"=",IF(G98-RANK(B98,B$2:B$99,0)&gt;0,"▲" &amp; G98-RANK(B98,B$2:B$99,0),"▼" &amp; ABS(G98-RANK(B98,B$2:B$99,0)))),""),"")</f>
        <v/>
      </c>
    </row>
    <row r="99" spans="4:6">
      <c r="D99" s="13" t="str">
        <f t="shared" si="1"/>
        <v/>
      </c>
      <c r="F99" s="9" t="str">
        <f>_xlfn.IFNA(IFERROR(IF(G99-RANK(B99,B$2:B$99,0)=0,"=",IF(G99-RANK(B99,B$2:B$99,0)&gt;0,"▲" &amp; G99-RANK(B99,B$2:B$99,0),"▼" &amp; ABS(G99-RANK(B99,B$2:B$99,0)))),""),"")</f>
        <v/>
      </c>
    </row>
    <row r="100" spans="4:6">
      <c r="F100" s="9"/>
    </row>
    <row r="101" spans="4:6">
      <c r="F101" s="9"/>
    </row>
    <row r="102" spans="4:6">
      <c r="F102" s="9"/>
    </row>
    <row r="103" spans="4:6">
      <c r="F103" s="9"/>
    </row>
    <row r="104" spans="4:6">
      <c r="F104" s="9"/>
    </row>
    <row r="105" spans="4:6">
      <c r="F105" s="9"/>
    </row>
    <row r="106" spans="4:6">
      <c r="F106" s="9"/>
    </row>
    <row r="107" spans="4:6">
      <c r="F107" s="9"/>
    </row>
    <row r="108" spans="4:6">
      <c r="F108" s="9"/>
    </row>
    <row r="109" spans="4:6">
      <c r="F109" s="9"/>
    </row>
    <row r="110" spans="4:6">
      <c r="F110" s="9"/>
    </row>
    <row r="111" spans="4:6">
      <c r="F111" s="9"/>
    </row>
    <row r="112" spans="4:6">
      <c r="F112" s="9"/>
    </row>
    <row r="113" spans="6:6">
      <c r="F113" s="9"/>
    </row>
    <row r="114" spans="6:6">
      <c r="F114" s="9"/>
    </row>
    <row r="115" spans="6:6">
      <c r="F115" s="9"/>
    </row>
    <row r="116" spans="6:6">
      <c r="F116" s="9"/>
    </row>
    <row r="117" spans="6:6">
      <c r="F117" s="9"/>
    </row>
    <row r="118" spans="6:6">
      <c r="F118" s="9"/>
    </row>
    <row r="119" spans="6:6">
      <c r="F119" s="9"/>
    </row>
    <row r="120" spans="6:6">
      <c r="F120" s="9"/>
    </row>
    <row r="121" spans="6:6">
      <c r="F121" s="9"/>
    </row>
    <row r="122" spans="6:6">
      <c r="F122" s="9"/>
    </row>
    <row r="123" spans="6:6">
      <c r="F123" s="9"/>
    </row>
    <row r="124" spans="6:6">
      <c r="F124" s="9"/>
    </row>
    <row r="125" spans="6:6">
      <c r="F125" s="9"/>
    </row>
    <row r="126" spans="6:6">
      <c r="F126" s="9"/>
    </row>
    <row r="127" spans="6:6">
      <c r="F127" s="9"/>
    </row>
    <row r="128" spans="6:6">
      <c r="F128" s="9"/>
    </row>
    <row r="129" spans="6:6">
      <c r="F129" s="9"/>
    </row>
    <row r="130" spans="6:6">
      <c r="F130" s="9"/>
    </row>
    <row r="131" spans="6:6">
      <c r="F131" s="9"/>
    </row>
    <row r="132" spans="6:6">
      <c r="F132" s="9"/>
    </row>
    <row r="133" spans="6:6">
      <c r="F133" s="9"/>
    </row>
    <row r="134" spans="6:6">
      <c r="F134" s="9"/>
    </row>
    <row r="135" spans="6:6">
      <c r="F135" s="9"/>
    </row>
    <row r="136" spans="6:6">
      <c r="F136" s="9"/>
    </row>
    <row r="137" spans="6:6">
      <c r="F137" s="9"/>
    </row>
    <row r="138" spans="6:6">
      <c r="F138" s="9"/>
    </row>
    <row r="139" spans="6:6">
      <c r="F139" s="9"/>
    </row>
    <row r="140" spans="6:6">
      <c r="F140" s="9"/>
    </row>
    <row r="141" spans="6:6">
      <c r="F141" s="9"/>
    </row>
    <row r="142" spans="6:6">
      <c r="F142" s="9"/>
    </row>
    <row r="143" spans="6:6">
      <c r="F143" s="9"/>
    </row>
    <row r="144" spans="6:6">
      <c r="F144" s="9"/>
    </row>
    <row r="145" spans="6:6">
      <c r="F145" s="9"/>
    </row>
    <row r="146" spans="6:6">
      <c r="F146" s="9"/>
    </row>
    <row r="147" spans="6:6">
      <c r="F147" s="9"/>
    </row>
    <row r="148" spans="6:6">
      <c r="F148" s="9"/>
    </row>
    <row r="149" spans="6:6">
      <c r="F149" s="9"/>
    </row>
    <row r="150" spans="6:6">
      <c r="F150" s="9"/>
    </row>
    <row r="151" spans="6:6">
      <c r="F151" s="9"/>
    </row>
    <row r="152" spans="6:6">
      <c r="F152" s="9"/>
    </row>
    <row r="153" spans="6:6">
      <c r="F153" s="9"/>
    </row>
    <row r="154" spans="6:6">
      <c r="F154" s="9"/>
    </row>
    <row r="155" spans="6:6">
      <c r="F155" s="9"/>
    </row>
    <row r="156" spans="6:6">
      <c r="F156" s="9"/>
    </row>
    <row r="157" spans="6:6">
      <c r="F157" s="9"/>
    </row>
    <row r="158" spans="6:6">
      <c r="F158" s="9"/>
    </row>
    <row r="159" spans="6:6">
      <c r="F159" s="9"/>
    </row>
    <row r="160" spans="6:6">
      <c r="F160" s="9"/>
    </row>
    <row r="161" spans="6:6">
      <c r="F161" s="9"/>
    </row>
    <row r="162" spans="6:6">
      <c r="F162" s="9"/>
    </row>
    <row r="163" spans="6:6">
      <c r="F163" s="9"/>
    </row>
    <row r="164" spans="6:6">
      <c r="F164" s="9"/>
    </row>
    <row r="165" spans="6:6">
      <c r="F165" s="9"/>
    </row>
    <row r="166" spans="6:6">
      <c r="F166" s="9"/>
    </row>
    <row r="167" spans="6:6">
      <c r="F167" s="9"/>
    </row>
    <row r="168" spans="6:6">
      <c r="F168" s="9"/>
    </row>
    <row r="169" spans="6:6">
      <c r="F169" s="9"/>
    </row>
    <row r="170" spans="6:6">
      <c r="F170" s="9"/>
    </row>
    <row r="171" spans="6:6">
      <c r="F171" s="9"/>
    </row>
    <row r="172" spans="6:6">
      <c r="F172" s="9"/>
    </row>
    <row r="173" spans="6:6">
      <c r="F173" s="9"/>
    </row>
    <row r="174" spans="6:6">
      <c r="F174" s="9"/>
    </row>
    <row r="175" spans="6:6">
      <c r="F175" s="9"/>
    </row>
    <row r="176" spans="6:6">
      <c r="F176" s="9"/>
    </row>
    <row r="177" spans="6:6">
      <c r="F177" s="9"/>
    </row>
    <row r="178" spans="6:6">
      <c r="F178" s="9"/>
    </row>
    <row r="179" spans="6:6">
      <c r="F179" s="9"/>
    </row>
    <row r="180" spans="6:6">
      <c r="F180" s="9"/>
    </row>
    <row r="181" spans="6:6">
      <c r="F181" s="9"/>
    </row>
    <row r="182" spans="6:6">
      <c r="F182" s="9"/>
    </row>
    <row r="183" spans="6:6">
      <c r="F183" s="9"/>
    </row>
    <row r="184" spans="6:6">
      <c r="F184" s="9"/>
    </row>
    <row r="185" spans="6:6">
      <c r="F185" s="9"/>
    </row>
    <row r="186" spans="6:6">
      <c r="F186" s="9"/>
    </row>
    <row r="187" spans="6:6">
      <c r="F187" s="9"/>
    </row>
    <row r="188" spans="6:6">
      <c r="F188" s="9"/>
    </row>
    <row r="189" spans="6:6">
      <c r="F189" s="9"/>
    </row>
    <row r="190" spans="6:6">
      <c r="F190" s="9"/>
    </row>
    <row r="191" spans="6:6">
      <c r="F191" s="9"/>
    </row>
    <row r="192" spans="6:6">
      <c r="F192" s="9"/>
    </row>
    <row r="193" spans="6:6">
      <c r="F193" s="9"/>
    </row>
    <row r="194" spans="6:6">
      <c r="F194" s="9"/>
    </row>
    <row r="195" spans="6:6">
      <c r="F195" s="9"/>
    </row>
    <row r="196" spans="6:6">
      <c r="F196" s="9"/>
    </row>
    <row r="197" spans="6:6">
      <c r="F197" s="9"/>
    </row>
    <row r="198" spans="6:6">
      <c r="F198" s="9"/>
    </row>
    <row r="199" spans="6:6">
      <c r="F199" s="9"/>
    </row>
    <row r="200" spans="6:6">
      <c r="F200" s="9"/>
    </row>
    <row r="201" spans="6:6">
      <c r="F201" s="9"/>
    </row>
    <row r="202" spans="6:6">
      <c r="F202" s="9"/>
    </row>
    <row r="203" spans="6:6">
      <c r="F203" s="9"/>
    </row>
    <row r="204" spans="6:6">
      <c r="F204" s="9"/>
    </row>
    <row r="205" spans="6:6">
      <c r="F205" s="9"/>
    </row>
    <row r="206" spans="6:6">
      <c r="F206" s="9"/>
    </row>
    <row r="207" spans="6:6">
      <c r="F207" s="9"/>
    </row>
    <row r="208" spans="6:6">
      <c r="F208" s="9"/>
    </row>
    <row r="209" spans="6:6">
      <c r="F209" s="9"/>
    </row>
    <row r="210" spans="6:6">
      <c r="F210" s="9"/>
    </row>
    <row r="211" spans="6:6">
      <c r="F211" s="9"/>
    </row>
    <row r="212" spans="6:6">
      <c r="F212" s="9"/>
    </row>
    <row r="213" spans="6:6">
      <c r="F213" s="9"/>
    </row>
    <row r="214" spans="6:6">
      <c r="F214" s="9"/>
    </row>
    <row r="215" spans="6:6">
      <c r="F215" s="9"/>
    </row>
    <row r="216" spans="6:6">
      <c r="F216" s="9"/>
    </row>
    <row r="217" spans="6:6">
      <c r="F217" s="9"/>
    </row>
    <row r="218" spans="6:6">
      <c r="F218" s="9"/>
    </row>
    <row r="219" spans="6:6">
      <c r="F219" s="9"/>
    </row>
    <row r="220" spans="6:6">
      <c r="F220" s="9"/>
    </row>
    <row r="221" spans="6:6">
      <c r="F221" s="9"/>
    </row>
    <row r="222" spans="6:6">
      <c r="F222" s="9"/>
    </row>
    <row r="223" spans="6:6">
      <c r="F223" s="9"/>
    </row>
    <row r="224" spans="6:6">
      <c r="F224" s="9"/>
    </row>
    <row r="225" spans="6:6">
      <c r="F225" s="9"/>
    </row>
    <row r="226" spans="6:6">
      <c r="F226" s="9"/>
    </row>
    <row r="227" spans="6:6">
      <c r="F227" s="9"/>
    </row>
    <row r="228" spans="6:6">
      <c r="F228" s="9"/>
    </row>
    <row r="229" spans="6:6">
      <c r="F229" s="9"/>
    </row>
    <row r="230" spans="6:6">
      <c r="F230" s="9"/>
    </row>
    <row r="231" spans="6:6">
      <c r="F231" s="9"/>
    </row>
    <row r="232" spans="6:6">
      <c r="F232" s="9"/>
    </row>
    <row r="233" spans="6:6">
      <c r="F233" s="9"/>
    </row>
    <row r="234" spans="6:6">
      <c r="F234" s="9"/>
    </row>
    <row r="235" spans="6:6">
      <c r="F235" s="9"/>
    </row>
    <row r="236" spans="6:6">
      <c r="F236" s="9"/>
    </row>
    <row r="237" spans="6:6">
      <c r="F237" s="9"/>
    </row>
    <row r="238" spans="6:6">
      <c r="F238" s="9"/>
    </row>
    <row r="239" spans="6:6">
      <c r="F239" s="9"/>
    </row>
    <row r="240" spans="6:6">
      <c r="F240" s="9"/>
    </row>
    <row r="241" spans="6:6">
      <c r="F241" s="9"/>
    </row>
    <row r="242" spans="6:6">
      <c r="F242" s="9"/>
    </row>
    <row r="243" spans="6:6">
      <c r="F243" s="9"/>
    </row>
    <row r="244" spans="6:6">
      <c r="F244" s="9"/>
    </row>
    <row r="245" spans="6:6">
      <c r="F245" s="9"/>
    </row>
    <row r="246" spans="6:6">
      <c r="F246" s="9"/>
    </row>
    <row r="247" spans="6:6">
      <c r="F247" s="9"/>
    </row>
    <row r="248" spans="6:6">
      <c r="F248" s="9"/>
    </row>
    <row r="249" spans="6:6">
      <c r="F249" s="9"/>
    </row>
    <row r="250" spans="6:6">
      <c r="F250" s="9"/>
    </row>
    <row r="251" spans="6:6">
      <c r="F251" s="9"/>
    </row>
    <row r="252" spans="6:6">
      <c r="F252" s="9"/>
    </row>
    <row r="253" spans="6:6">
      <c r="F253" s="9"/>
    </row>
    <row r="254" spans="6:6">
      <c r="F254" s="9"/>
    </row>
    <row r="255" spans="6:6">
      <c r="F255" s="9"/>
    </row>
    <row r="256" spans="6:6">
      <c r="F256" s="9"/>
    </row>
    <row r="257" spans="6:6">
      <c r="F257" s="9"/>
    </row>
    <row r="258" spans="6:6">
      <c r="F258" s="9"/>
    </row>
    <row r="259" spans="6:6">
      <c r="F259" s="9"/>
    </row>
    <row r="260" spans="6:6">
      <c r="F260" s="9"/>
    </row>
    <row r="261" spans="6:6">
      <c r="F261" s="9"/>
    </row>
    <row r="262" spans="6:6">
      <c r="F262" s="9"/>
    </row>
    <row r="263" spans="6:6">
      <c r="F263" s="9"/>
    </row>
    <row r="264" spans="6:6">
      <c r="F264" s="9"/>
    </row>
    <row r="265" spans="6:6">
      <c r="F265" s="9"/>
    </row>
    <row r="266" spans="6:6">
      <c r="F266" s="9"/>
    </row>
    <row r="267" spans="6:6">
      <c r="F267" s="9"/>
    </row>
    <row r="268" spans="6:6">
      <c r="F268" s="9"/>
    </row>
    <row r="269" spans="6:6">
      <c r="F269" s="9"/>
    </row>
    <row r="270" spans="6:6">
      <c r="F270" s="9"/>
    </row>
    <row r="271" spans="6:6">
      <c r="F271" s="9"/>
    </row>
    <row r="272" spans="6:6">
      <c r="F272" s="9"/>
    </row>
    <row r="273" spans="6:6">
      <c r="F273" s="9"/>
    </row>
    <row r="274" spans="6:6">
      <c r="F274" s="9"/>
    </row>
    <row r="275" spans="6:6">
      <c r="F275" s="9"/>
    </row>
    <row r="276" spans="6:6">
      <c r="F276" s="9"/>
    </row>
    <row r="277" spans="6:6">
      <c r="F277" s="9"/>
    </row>
    <row r="278" spans="6:6">
      <c r="F278" s="9"/>
    </row>
    <row r="279" spans="6:6">
      <c r="F279" s="9"/>
    </row>
    <row r="280" spans="6:6">
      <c r="F280" s="9"/>
    </row>
    <row r="281" spans="6:6">
      <c r="F281" s="9"/>
    </row>
    <row r="282" spans="6:6">
      <c r="F282" s="9"/>
    </row>
    <row r="283" spans="6:6">
      <c r="F283" s="9"/>
    </row>
    <row r="284" spans="6:6">
      <c r="F284" s="9"/>
    </row>
    <row r="285" spans="6:6">
      <c r="F285" s="9"/>
    </row>
    <row r="286" spans="6:6">
      <c r="F286" s="9"/>
    </row>
    <row r="287" spans="6:6">
      <c r="F287" s="9"/>
    </row>
    <row r="288" spans="6:6">
      <c r="F288" s="9"/>
    </row>
    <row r="289" spans="6:6">
      <c r="F289" s="9"/>
    </row>
    <row r="290" spans="6:6">
      <c r="F290" s="9"/>
    </row>
    <row r="291" spans="6:6">
      <c r="F291" s="9"/>
    </row>
    <row r="292" spans="6:6">
      <c r="F292" s="9"/>
    </row>
    <row r="293" spans="6:6">
      <c r="F293" s="9"/>
    </row>
    <row r="294" spans="6:6">
      <c r="F294" s="9"/>
    </row>
    <row r="295" spans="6:6">
      <c r="F295" s="9"/>
    </row>
    <row r="296" spans="6:6">
      <c r="F296" s="9"/>
    </row>
    <row r="297" spans="6:6">
      <c r="F297" s="9"/>
    </row>
    <row r="298" spans="6:6">
      <c r="F298" s="9"/>
    </row>
    <row r="299" spans="6:6">
      <c r="F299" s="9"/>
    </row>
    <row r="300" spans="6:6">
      <c r="F300" s="9"/>
    </row>
    <row r="301" spans="6:6">
      <c r="F301" s="9"/>
    </row>
    <row r="302" spans="6:6">
      <c r="F302" s="9"/>
    </row>
    <row r="303" spans="6:6">
      <c r="F303" s="9"/>
    </row>
    <row r="304" spans="6:6">
      <c r="F304" s="9"/>
    </row>
    <row r="305" spans="6:6">
      <c r="F305" s="9"/>
    </row>
    <row r="306" spans="6:6">
      <c r="F306" s="9"/>
    </row>
    <row r="307" spans="6:6">
      <c r="F307" s="9"/>
    </row>
    <row r="308" spans="6:6">
      <c r="F308" s="9"/>
    </row>
    <row r="309" spans="6:6">
      <c r="F309" s="9"/>
    </row>
    <row r="310" spans="6:6">
      <c r="F310" s="9"/>
    </row>
    <row r="311" spans="6:6">
      <c r="F311" s="9"/>
    </row>
    <row r="312" spans="6:6">
      <c r="F312" s="9"/>
    </row>
    <row r="313" spans="6:6">
      <c r="F313" s="9"/>
    </row>
    <row r="314" spans="6:6">
      <c r="F314" s="9"/>
    </row>
    <row r="315" spans="6:6">
      <c r="F315" s="9"/>
    </row>
    <row r="316" spans="6:6">
      <c r="F316" s="9"/>
    </row>
    <row r="317" spans="6:6">
      <c r="F317" s="9"/>
    </row>
    <row r="318" spans="6:6">
      <c r="F318" s="9"/>
    </row>
    <row r="319" spans="6:6">
      <c r="F319" s="9"/>
    </row>
    <row r="320" spans="6:6">
      <c r="F320" s="9"/>
    </row>
    <row r="321" spans="6:6">
      <c r="F321" s="9"/>
    </row>
    <row r="322" spans="6:6">
      <c r="F322" s="9"/>
    </row>
    <row r="323" spans="6:6">
      <c r="F323" s="9"/>
    </row>
    <row r="324" spans="6:6">
      <c r="F324" s="9"/>
    </row>
    <row r="325" spans="6:6">
      <c r="F325" s="9"/>
    </row>
    <row r="326" spans="6:6">
      <c r="F326" s="9"/>
    </row>
    <row r="327" spans="6:6">
      <c r="F327" s="9"/>
    </row>
    <row r="328" spans="6:6">
      <c r="F328" s="9"/>
    </row>
    <row r="329" spans="6:6">
      <c r="F329" s="9"/>
    </row>
    <row r="330" spans="6:6">
      <c r="F330" s="9"/>
    </row>
    <row r="331" spans="6:6">
      <c r="F331" s="9"/>
    </row>
    <row r="332" spans="6:6">
      <c r="F332" s="9"/>
    </row>
    <row r="333" spans="6:6">
      <c r="F333" s="9"/>
    </row>
    <row r="334" spans="6:6">
      <c r="F334" s="9"/>
    </row>
    <row r="335" spans="6:6">
      <c r="F335" s="9"/>
    </row>
    <row r="336" spans="6:6">
      <c r="F336" s="9"/>
    </row>
    <row r="337" spans="6:6">
      <c r="F337" s="9"/>
    </row>
    <row r="338" spans="6:6">
      <c r="F338" s="9"/>
    </row>
    <row r="339" spans="6:6">
      <c r="F339" s="9"/>
    </row>
    <row r="340" spans="6:6">
      <c r="F340" s="9"/>
    </row>
    <row r="341" spans="6:6">
      <c r="F341" s="9"/>
    </row>
    <row r="342" spans="6:6">
      <c r="F342" s="9"/>
    </row>
    <row r="343" spans="6:6">
      <c r="F343" s="9"/>
    </row>
    <row r="344" spans="6:6">
      <c r="F344" s="9"/>
    </row>
    <row r="345" spans="6:6">
      <c r="F345" s="9"/>
    </row>
    <row r="346" spans="6:6">
      <c r="F346" s="9"/>
    </row>
    <row r="347" spans="6:6">
      <c r="F347" s="9"/>
    </row>
    <row r="348" spans="6:6">
      <c r="F348" s="9"/>
    </row>
    <row r="349" spans="6:6">
      <c r="F349" s="9"/>
    </row>
    <row r="350" spans="6:6">
      <c r="F350" s="9"/>
    </row>
    <row r="351" spans="6:6">
      <c r="F351" s="9"/>
    </row>
    <row r="352" spans="6:6">
      <c r="F352" s="9"/>
    </row>
    <row r="353" spans="6:6">
      <c r="F353" s="9"/>
    </row>
    <row r="354" spans="6:6">
      <c r="F354" s="9"/>
    </row>
    <row r="355" spans="6:6">
      <c r="F355" s="9"/>
    </row>
    <row r="356" spans="6:6">
      <c r="F356" s="9"/>
    </row>
    <row r="357" spans="6:6">
      <c r="F357" s="9"/>
    </row>
    <row r="358" spans="6:6">
      <c r="F358" s="9"/>
    </row>
    <row r="359" spans="6:6">
      <c r="F359" s="9"/>
    </row>
    <row r="360" spans="6:6">
      <c r="F360" s="9"/>
    </row>
    <row r="361" spans="6:6">
      <c r="F361" s="9"/>
    </row>
    <row r="362" spans="6:6">
      <c r="F362" s="9"/>
    </row>
    <row r="363" spans="6:6">
      <c r="F363" s="9"/>
    </row>
    <row r="364" spans="6:6">
      <c r="F364" s="9"/>
    </row>
    <row r="365" spans="6:6">
      <c r="F365" s="9"/>
    </row>
    <row r="366" spans="6:6">
      <c r="F366" s="9"/>
    </row>
    <row r="367" spans="6:6">
      <c r="F367" s="9"/>
    </row>
    <row r="368" spans="6:6">
      <c r="F368" s="9"/>
    </row>
    <row r="369" spans="6:6">
      <c r="F369" s="9"/>
    </row>
    <row r="370" spans="6:6">
      <c r="F370" s="9"/>
    </row>
    <row r="371" spans="6:6">
      <c r="F371" s="9"/>
    </row>
    <row r="372" spans="6:6">
      <c r="F372" s="9"/>
    </row>
    <row r="373" spans="6:6">
      <c r="F373" s="9"/>
    </row>
    <row r="374" spans="6:6">
      <c r="F374" s="9"/>
    </row>
    <row r="375" spans="6:6">
      <c r="F375" s="9"/>
    </row>
    <row r="376" spans="6:6">
      <c r="F376" s="9"/>
    </row>
    <row r="377" spans="6:6">
      <c r="F377" s="9"/>
    </row>
    <row r="378" spans="6:6">
      <c r="F378" s="9"/>
    </row>
    <row r="379" spans="6:6">
      <c r="F379" s="9"/>
    </row>
    <row r="380" spans="6:6">
      <c r="F380" s="9"/>
    </row>
    <row r="381" spans="6:6">
      <c r="F381" s="9"/>
    </row>
    <row r="382" spans="6:6">
      <c r="F382" s="9"/>
    </row>
    <row r="383" spans="6:6">
      <c r="F383" s="9"/>
    </row>
    <row r="384" spans="6:6">
      <c r="F384" s="9"/>
    </row>
    <row r="385" spans="6:6">
      <c r="F385" s="9"/>
    </row>
    <row r="386" spans="6:6">
      <c r="F386" s="9"/>
    </row>
    <row r="387" spans="6:6">
      <c r="F387" s="9"/>
    </row>
    <row r="388" spans="6:6">
      <c r="F388" s="9"/>
    </row>
    <row r="389" spans="6:6">
      <c r="F389" s="9"/>
    </row>
    <row r="390" spans="6:6">
      <c r="F390" s="9"/>
    </row>
    <row r="391" spans="6:6">
      <c r="F391" s="9"/>
    </row>
    <row r="392" spans="6:6">
      <c r="F392" s="9"/>
    </row>
    <row r="393" spans="6:6">
      <c r="F393" s="9"/>
    </row>
    <row r="394" spans="6:6">
      <c r="F394" s="9"/>
    </row>
    <row r="395" spans="6:6">
      <c r="F395" s="9"/>
    </row>
    <row r="396" spans="6:6">
      <c r="F396" s="9"/>
    </row>
    <row r="397" spans="6:6">
      <c r="F397" s="9"/>
    </row>
    <row r="398" spans="6:6">
      <c r="F398" s="9"/>
    </row>
    <row r="399" spans="6:6">
      <c r="F399" s="9"/>
    </row>
    <row r="400" spans="6:6">
      <c r="F400" s="9"/>
    </row>
    <row r="401" spans="6:6">
      <c r="F401" s="9"/>
    </row>
    <row r="402" spans="6:6">
      <c r="F402" s="9"/>
    </row>
    <row r="403" spans="6:6">
      <c r="F403" s="9"/>
    </row>
    <row r="404" spans="6:6">
      <c r="F404" s="9"/>
    </row>
    <row r="405" spans="6:6">
      <c r="F405" s="9"/>
    </row>
    <row r="406" spans="6:6">
      <c r="F406" s="9"/>
    </row>
    <row r="407" spans="6:6">
      <c r="F407" s="9"/>
    </row>
    <row r="408" spans="6:6">
      <c r="F408" s="9"/>
    </row>
    <row r="409" spans="6:6">
      <c r="F409" s="9"/>
    </row>
    <row r="410" spans="6:6">
      <c r="F410" s="9"/>
    </row>
    <row r="411" spans="6:6">
      <c r="F411" s="9"/>
    </row>
    <row r="412" spans="6:6">
      <c r="F412" s="9"/>
    </row>
    <row r="413" spans="6:6">
      <c r="F413" s="9"/>
    </row>
    <row r="414" spans="6:6">
      <c r="F414" s="9"/>
    </row>
    <row r="415" spans="6:6">
      <c r="F415" s="9"/>
    </row>
    <row r="416" spans="6:6">
      <c r="F416" s="9"/>
    </row>
    <row r="417" spans="6:6">
      <c r="F417" s="9"/>
    </row>
    <row r="418" spans="6:6">
      <c r="F418" s="9"/>
    </row>
    <row r="419" spans="6:6">
      <c r="F419" s="9"/>
    </row>
    <row r="420" spans="6:6">
      <c r="F420" s="9"/>
    </row>
    <row r="421" spans="6:6">
      <c r="F421" s="9"/>
    </row>
    <row r="422" spans="6:6">
      <c r="F422" s="9"/>
    </row>
    <row r="423" spans="6:6">
      <c r="F423" s="9"/>
    </row>
    <row r="424" spans="6:6">
      <c r="F424" s="9"/>
    </row>
    <row r="425" spans="6:6">
      <c r="F425" s="9"/>
    </row>
    <row r="426" spans="6:6">
      <c r="F426" s="9"/>
    </row>
    <row r="427" spans="6:6">
      <c r="F427" s="9"/>
    </row>
    <row r="428" spans="6:6">
      <c r="F428" s="9"/>
    </row>
    <row r="429" spans="6:6">
      <c r="F429" s="9"/>
    </row>
    <row r="430" spans="6:6">
      <c r="F430" s="9"/>
    </row>
    <row r="431" spans="6:6">
      <c r="F431" s="9"/>
    </row>
    <row r="432" spans="6:6">
      <c r="F432" s="9"/>
    </row>
    <row r="433" spans="6:6">
      <c r="F433" s="9"/>
    </row>
    <row r="434" spans="6:6">
      <c r="F434" s="9"/>
    </row>
    <row r="435" spans="6:6">
      <c r="F435" s="9"/>
    </row>
    <row r="436" spans="6:6">
      <c r="F436" s="9"/>
    </row>
    <row r="437" spans="6:6">
      <c r="F437" s="9"/>
    </row>
    <row r="438" spans="6:6">
      <c r="F438" s="9"/>
    </row>
    <row r="439" spans="6:6">
      <c r="F439" s="9"/>
    </row>
    <row r="440" spans="6:6">
      <c r="F440" s="9"/>
    </row>
    <row r="441" spans="6:6">
      <c r="F441" s="9"/>
    </row>
    <row r="442" spans="6:6">
      <c r="F442" s="9"/>
    </row>
    <row r="443" spans="6:6">
      <c r="F443" s="9"/>
    </row>
    <row r="444" spans="6:6">
      <c r="F444" s="9"/>
    </row>
    <row r="445" spans="6:6">
      <c r="F445" s="9"/>
    </row>
    <row r="446" spans="6:6">
      <c r="F446" s="9"/>
    </row>
    <row r="447" spans="6:6">
      <c r="F447" s="9"/>
    </row>
    <row r="448" spans="6:6">
      <c r="F448" s="9"/>
    </row>
    <row r="449" spans="6:6">
      <c r="F449" s="9"/>
    </row>
    <row r="450" spans="6:6">
      <c r="F450" s="9"/>
    </row>
    <row r="451" spans="6:6">
      <c r="F451" s="9"/>
    </row>
    <row r="452" spans="6:6">
      <c r="F452" s="9"/>
    </row>
    <row r="453" spans="6:6">
      <c r="F453" s="9"/>
    </row>
    <row r="454" spans="6:6">
      <c r="F454" s="9"/>
    </row>
    <row r="455" spans="6:6">
      <c r="F455" s="9"/>
    </row>
    <row r="456" spans="6:6">
      <c r="F456" s="9"/>
    </row>
    <row r="457" spans="6:6">
      <c r="F457" s="9"/>
    </row>
    <row r="458" spans="6:6">
      <c r="F458" s="9"/>
    </row>
    <row r="459" spans="6:6">
      <c r="F459" s="9"/>
    </row>
    <row r="460" spans="6:6">
      <c r="F460" s="9"/>
    </row>
    <row r="461" spans="6:6">
      <c r="F461" s="9"/>
    </row>
    <row r="462" spans="6:6">
      <c r="F462" s="9"/>
    </row>
    <row r="463" spans="6:6">
      <c r="F463" s="9"/>
    </row>
    <row r="464" spans="6:6">
      <c r="F464" s="9"/>
    </row>
    <row r="465" spans="6:6">
      <c r="F465" s="9"/>
    </row>
    <row r="466" spans="6:6">
      <c r="F466" s="9"/>
    </row>
    <row r="467" spans="6:6">
      <c r="F467" s="9"/>
    </row>
    <row r="468" spans="6:6">
      <c r="F468" s="9"/>
    </row>
    <row r="469" spans="6:6">
      <c r="F469" s="9"/>
    </row>
    <row r="470" spans="6:6">
      <c r="F470" s="9"/>
    </row>
    <row r="471" spans="6:6">
      <c r="F471" s="9"/>
    </row>
    <row r="472" spans="6:6">
      <c r="F472" s="9"/>
    </row>
    <row r="473" spans="6:6">
      <c r="F473" s="9"/>
    </row>
    <row r="474" spans="6:6">
      <c r="F474" s="9"/>
    </row>
    <row r="475" spans="6:6">
      <c r="F475" s="9"/>
    </row>
    <row r="476" spans="6:6">
      <c r="F476" s="9"/>
    </row>
    <row r="477" spans="6:6">
      <c r="F477" s="9"/>
    </row>
    <row r="478" spans="6:6">
      <c r="F478" s="9"/>
    </row>
    <row r="479" spans="6:6">
      <c r="F479" s="9"/>
    </row>
    <row r="480" spans="6:6">
      <c r="F480" s="9"/>
    </row>
    <row r="481" spans="6:6">
      <c r="F481" s="9"/>
    </row>
    <row r="482" spans="6:6">
      <c r="F482" s="9"/>
    </row>
    <row r="483" spans="6:6">
      <c r="F483" s="9"/>
    </row>
    <row r="484" spans="6:6">
      <c r="F484" s="9"/>
    </row>
    <row r="485" spans="6:6">
      <c r="F485" s="9"/>
    </row>
    <row r="486" spans="6:6">
      <c r="F486" s="9"/>
    </row>
    <row r="487" spans="6:6">
      <c r="F487" s="9"/>
    </row>
    <row r="488" spans="6:6">
      <c r="F488" s="9"/>
    </row>
    <row r="489" spans="6:6">
      <c r="F489" s="9"/>
    </row>
    <row r="490" spans="6:6">
      <c r="F490" s="9"/>
    </row>
    <row r="491" spans="6:6">
      <c r="F491" s="9"/>
    </row>
    <row r="492" spans="6:6">
      <c r="F492" s="9"/>
    </row>
    <row r="493" spans="6:6">
      <c r="F493" s="9"/>
    </row>
    <row r="494" spans="6:6">
      <c r="F494" s="9"/>
    </row>
    <row r="495" spans="6:6">
      <c r="F495" s="9"/>
    </row>
    <row r="496" spans="6:6">
      <c r="F496" s="9"/>
    </row>
    <row r="497" spans="6:6">
      <c r="F497" s="9"/>
    </row>
    <row r="498" spans="6:6">
      <c r="F498" s="9"/>
    </row>
    <row r="499" spans="6:6">
      <c r="F499" s="9"/>
    </row>
    <row r="500" spans="6:6">
      <c r="F500" s="9"/>
    </row>
    <row r="501" spans="6:6">
      <c r="F501" s="9"/>
    </row>
    <row r="502" spans="6:6">
      <c r="F502" s="9"/>
    </row>
    <row r="503" spans="6:6">
      <c r="F503" s="9"/>
    </row>
    <row r="504" spans="6:6">
      <c r="F504" s="9"/>
    </row>
    <row r="505" spans="6:6">
      <c r="F505" s="9"/>
    </row>
    <row r="506" spans="6:6">
      <c r="F506" s="9"/>
    </row>
    <row r="507" spans="6:6">
      <c r="F507" s="9"/>
    </row>
    <row r="508" spans="6:6">
      <c r="F508" s="9"/>
    </row>
    <row r="509" spans="6:6">
      <c r="F509" s="9"/>
    </row>
    <row r="510" spans="6:6">
      <c r="F510" s="9"/>
    </row>
    <row r="511" spans="6:6">
      <c r="F511" s="9"/>
    </row>
    <row r="512" spans="6:6">
      <c r="F512" s="9"/>
    </row>
    <row r="513" spans="6:6">
      <c r="F513" s="9"/>
    </row>
    <row r="514" spans="6:6">
      <c r="F514" s="9"/>
    </row>
    <row r="515" spans="6:6">
      <c r="F515" s="9"/>
    </row>
    <row r="516" spans="6:6">
      <c r="F516" s="9"/>
    </row>
    <row r="517" spans="6:6">
      <c r="F517" s="9"/>
    </row>
    <row r="518" spans="6:6">
      <c r="F518" s="9"/>
    </row>
    <row r="519" spans="6:6">
      <c r="F519" s="9"/>
    </row>
    <row r="520" spans="6:6">
      <c r="F520" s="9"/>
    </row>
    <row r="521" spans="6:6">
      <c r="F521" s="9"/>
    </row>
    <row r="522" spans="6:6">
      <c r="F522" s="9"/>
    </row>
    <row r="523" spans="6:6">
      <c r="F523" s="9"/>
    </row>
    <row r="524" spans="6:6">
      <c r="F524" s="9"/>
    </row>
    <row r="525" spans="6:6">
      <c r="F525" s="9"/>
    </row>
    <row r="526" spans="6:6">
      <c r="F526" s="9"/>
    </row>
    <row r="527" spans="6:6">
      <c r="F527" s="9"/>
    </row>
    <row r="528" spans="6:6">
      <c r="F528" s="9"/>
    </row>
    <row r="529" spans="6:6">
      <c r="F529" s="9"/>
    </row>
    <row r="530" spans="6:6">
      <c r="F530" s="9"/>
    </row>
    <row r="531" spans="6:6">
      <c r="F531" s="9"/>
    </row>
    <row r="532" spans="6:6">
      <c r="F532" s="9"/>
    </row>
    <row r="533" spans="6:6">
      <c r="F533" s="9"/>
    </row>
    <row r="534" spans="6:6">
      <c r="F534" s="9"/>
    </row>
    <row r="535" spans="6:6">
      <c r="F535" s="9"/>
    </row>
    <row r="536" spans="6:6">
      <c r="F536" s="9"/>
    </row>
    <row r="537" spans="6:6">
      <c r="F537" s="9"/>
    </row>
    <row r="538" spans="6:6">
      <c r="F538" s="9"/>
    </row>
    <row r="539" spans="6:6">
      <c r="F539" s="9"/>
    </row>
    <row r="540" spans="6:6">
      <c r="F540" s="9"/>
    </row>
    <row r="541" spans="6:6">
      <c r="F541" s="9"/>
    </row>
    <row r="542" spans="6:6">
      <c r="F542" s="9"/>
    </row>
    <row r="543" spans="6:6">
      <c r="F543" s="9"/>
    </row>
    <row r="544" spans="6:6">
      <c r="F544" s="9"/>
    </row>
    <row r="545" spans="6:6">
      <c r="F545" s="9"/>
    </row>
    <row r="546" spans="6:6">
      <c r="F546" s="9"/>
    </row>
    <row r="547" spans="6:6">
      <c r="F547" s="9"/>
    </row>
    <row r="548" spans="6:6">
      <c r="F548" s="9"/>
    </row>
    <row r="549" spans="6:6">
      <c r="F549" s="9"/>
    </row>
    <row r="550" spans="6:6">
      <c r="F550" s="9"/>
    </row>
    <row r="551" spans="6:6">
      <c r="F551" s="9"/>
    </row>
    <row r="552" spans="6:6">
      <c r="F552" s="9"/>
    </row>
    <row r="553" spans="6:6">
      <c r="F553" s="9"/>
    </row>
    <row r="554" spans="6:6">
      <c r="F554" s="9"/>
    </row>
    <row r="555" spans="6:6">
      <c r="F555" s="9"/>
    </row>
    <row r="556" spans="6:6">
      <c r="F556" s="9"/>
    </row>
    <row r="557" spans="6:6">
      <c r="F557" s="9"/>
    </row>
    <row r="558" spans="6:6">
      <c r="F558" s="9"/>
    </row>
    <row r="559" spans="6:6">
      <c r="F559" s="9"/>
    </row>
    <row r="560" spans="6:6">
      <c r="F560" s="9"/>
    </row>
    <row r="561" spans="6:6">
      <c r="F561" s="9"/>
    </row>
    <row r="562" spans="6:6">
      <c r="F562" s="9"/>
    </row>
    <row r="563" spans="6:6">
      <c r="F563" s="9"/>
    </row>
    <row r="564" spans="6:6">
      <c r="F564" s="9"/>
    </row>
    <row r="565" spans="6:6">
      <c r="F565" s="9"/>
    </row>
    <row r="566" spans="6:6">
      <c r="F566" s="9"/>
    </row>
    <row r="567" spans="6:6">
      <c r="F567" s="9"/>
    </row>
    <row r="568" spans="6:6">
      <c r="F568" s="9"/>
    </row>
    <row r="569" spans="6:6">
      <c r="F569" s="9"/>
    </row>
    <row r="570" spans="6:6">
      <c r="F570" s="9"/>
    </row>
    <row r="571" spans="6:6">
      <c r="F571" s="9"/>
    </row>
    <row r="572" spans="6:6">
      <c r="F572" s="9"/>
    </row>
    <row r="573" spans="6:6">
      <c r="F573" s="9"/>
    </row>
    <row r="574" spans="6:6">
      <c r="F574" s="9"/>
    </row>
    <row r="575" spans="6:6">
      <c r="F575" s="9"/>
    </row>
    <row r="576" spans="6:6">
      <c r="F576" s="9"/>
    </row>
    <row r="577" spans="6:6">
      <c r="F577" s="9"/>
    </row>
    <row r="578" spans="6:6">
      <c r="F578" s="9"/>
    </row>
    <row r="579" spans="6:6">
      <c r="F579" s="9"/>
    </row>
    <row r="580" spans="6:6">
      <c r="F580" s="9"/>
    </row>
    <row r="581" spans="6:6">
      <c r="F581" s="9"/>
    </row>
    <row r="582" spans="6:6">
      <c r="F582" s="9"/>
    </row>
    <row r="583" spans="6:6">
      <c r="F583" s="9"/>
    </row>
    <row r="584" spans="6:6">
      <c r="F584" s="9"/>
    </row>
    <row r="585" spans="6:6">
      <c r="F585" s="9"/>
    </row>
    <row r="586" spans="6:6">
      <c r="F586" s="9"/>
    </row>
    <row r="587" spans="6:6">
      <c r="F587" s="9"/>
    </row>
    <row r="588" spans="6:6">
      <c r="F588" s="9"/>
    </row>
    <row r="589" spans="6:6">
      <c r="F589" s="9"/>
    </row>
    <row r="590" spans="6:6">
      <c r="F590" s="9"/>
    </row>
    <row r="591" spans="6:6">
      <c r="F591" s="9"/>
    </row>
    <row r="592" spans="6:6">
      <c r="F592" s="9"/>
    </row>
    <row r="593" spans="6:6">
      <c r="F593" s="9"/>
    </row>
    <row r="594" spans="6:6">
      <c r="F594" s="9"/>
    </row>
    <row r="595" spans="6:6">
      <c r="F595" s="9"/>
    </row>
    <row r="596" spans="6:6">
      <c r="F596" s="9"/>
    </row>
    <row r="597" spans="6:6">
      <c r="F597" s="9"/>
    </row>
    <row r="598" spans="6:6">
      <c r="F598" s="9"/>
    </row>
    <row r="599" spans="6:6">
      <c r="F599" s="9"/>
    </row>
    <row r="600" spans="6:6">
      <c r="F600" s="9"/>
    </row>
    <row r="601" spans="6:6">
      <c r="F601" s="9"/>
    </row>
    <row r="602" spans="6:6">
      <c r="F602" s="9"/>
    </row>
    <row r="603" spans="6:6">
      <c r="F603" s="9"/>
    </row>
    <row r="604" spans="6:6">
      <c r="F604" s="9"/>
    </row>
    <row r="605" spans="6:6">
      <c r="F605" s="9"/>
    </row>
    <row r="606" spans="6:6">
      <c r="F606" s="9"/>
    </row>
    <row r="607" spans="6:6">
      <c r="F607" s="9"/>
    </row>
    <row r="608" spans="6:6">
      <c r="F608" s="9"/>
    </row>
    <row r="609" spans="6:6">
      <c r="F609" s="9"/>
    </row>
    <row r="610" spans="6:6">
      <c r="F610" s="9"/>
    </row>
    <row r="611" spans="6:6">
      <c r="F611" s="9"/>
    </row>
    <row r="612" spans="6:6">
      <c r="F612" s="9"/>
    </row>
    <row r="613" spans="6:6">
      <c r="F613" s="9"/>
    </row>
    <row r="614" spans="6:6">
      <c r="F614" s="9"/>
    </row>
    <row r="615" spans="6:6">
      <c r="F615" s="9"/>
    </row>
    <row r="616" spans="6:6">
      <c r="F616" s="9"/>
    </row>
    <row r="617" spans="6:6">
      <c r="F617" s="9"/>
    </row>
    <row r="618" spans="6:6">
      <c r="F618" s="9"/>
    </row>
    <row r="619" spans="6:6">
      <c r="F619" s="9"/>
    </row>
    <row r="620" spans="6:6">
      <c r="F620" s="9"/>
    </row>
    <row r="621" spans="6:6">
      <c r="F621" s="9"/>
    </row>
    <row r="622" spans="6:6">
      <c r="F622" s="9"/>
    </row>
    <row r="623" spans="6:6">
      <c r="F623" s="9"/>
    </row>
    <row r="624" spans="6:6">
      <c r="F624" s="9"/>
    </row>
    <row r="625" spans="6:6">
      <c r="F625" s="9"/>
    </row>
    <row r="626" spans="6:6">
      <c r="F626" s="9"/>
    </row>
    <row r="627" spans="6:6">
      <c r="F627" s="9"/>
    </row>
    <row r="628" spans="6:6">
      <c r="F628" s="9"/>
    </row>
    <row r="629" spans="6:6">
      <c r="F629" s="9"/>
    </row>
    <row r="630" spans="6:6">
      <c r="F630" s="9"/>
    </row>
    <row r="631" spans="6:6">
      <c r="F631" s="9"/>
    </row>
    <row r="632" spans="6:6">
      <c r="F632" s="9"/>
    </row>
    <row r="633" spans="6:6">
      <c r="F633" s="9"/>
    </row>
    <row r="634" spans="6:6">
      <c r="F634" s="9"/>
    </row>
    <row r="635" spans="6:6">
      <c r="F635" s="9"/>
    </row>
    <row r="636" spans="6:6">
      <c r="F636" s="9"/>
    </row>
    <row r="637" spans="6:6">
      <c r="F637" s="9"/>
    </row>
    <row r="638" spans="6:6">
      <c r="F638" s="9"/>
    </row>
    <row r="639" spans="6:6">
      <c r="F639" s="9"/>
    </row>
    <row r="640" spans="6:6">
      <c r="F640" s="9"/>
    </row>
    <row r="641" spans="6:6">
      <c r="F641" s="9"/>
    </row>
    <row r="642" spans="6:6">
      <c r="F642" s="9"/>
    </row>
    <row r="643" spans="6:6">
      <c r="F643" s="9"/>
    </row>
    <row r="644" spans="6:6">
      <c r="F644" s="9"/>
    </row>
    <row r="645" spans="6:6">
      <c r="F645" s="9"/>
    </row>
    <row r="646" spans="6:6">
      <c r="F646" s="9"/>
    </row>
    <row r="647" spans="6:6">
      <c r="F647" s="9"/>
    </row>
    <row r="648" spans="6:6">
      <c r="F648" s="9"/>
    </row>
    <row r="649" spans="6:6">
      <c r="F649" s="9"/>
    </row>
    <row r="650" spans="6:6">
      <c r="F650" s="9"/>
    </row>
    <row r="651" spans="6:6">
      <c r="F651" s="9"/>
    </row>
    <row r="652" spans="6:6">
      <c r="F652" s="9"/>
    </row>
    <row r="653" spans="6:6">
      <c r="F653" s="9"/>
    </row>
    <row r="654" spans="6:6">
      <c r="F654" s="9"/>
    </row>
    <row r="655" spans="6:6">
      <c r="F655" s="9"/>
    </row>
    <row r="656" spans="6:6">
      <c r="F656" s="9"/>
    </row>
    <row r="657" spans="6:6">
      <c r="F657" s="9"/>
    </row>
    <row r="658" spans="6:6">
      <c r="F658" s="9"/>
    </row>
    <row r="659" spans="6:6">
      <c r="F659" s="9"/>
    </row>
    <row r="660" spans="6:6">
      <c r="F660" s="9"/>
    </row>
    <row r="661" spans="6:6">
      <c r="F661" s="9"/>
    </row>
    <row r="662" spans="6:6">
      <c r="F662" s="9"/>
    </row>
    <row r="663" spans="6:6">
      <c r="F663" s="9"/>
    </row>
    <row r="664" spans="6:6">
      <c r="F664" s="9"/>
    </row>
    <row r="665" spans="6:6">
      <c r="F665" s="9"/>
    </row>
    <row r="666" spans="6:6">
      <c r="F666" s="9"/>
    </row>
    <row r="667" spans="6:6">
      <c r="F667" s="9"/>
    </row>
    <row r="668" spans="6:6">
      <c r="F668" s="9"/>
    </row>
    <row r="669" spans="6:6">
      <c r="F669" s="9"/>
    </row>
    <row r="670" spans="6:6">
      <c r="F670" s="9"/>
    </row>
    <row r="671" spans="6:6">
      <c r="F671" s="9"/>
    </row>
    <row r="672" spans="6:6">
      <c r="F672" s="9"/>
    </row>
    <row r="673" spans="6:6">
      <c r="F673" s="9"/>
    </row>
    <row r="674" spans="6:6">
      <c r="F674" s="9"/>
    </row>
    <row r="675" spans="6:6">
      <c r="F675" s="9"/>
    </row>
    <row r="676" spans="6:6">
      <c r="F676" s="9"/>
    </row>
    <row r="677" spans="6:6">
      <c r="F677" s="9"/>
    </row>
    <row r="678" spans="6:6">
      <c r="F678" s="9"/>
    </row>
    <row r="679" spans="6:6">
      <c r="F679" s="9"/>
    </row>
    <row r="680" spans="6:6">
      <c r="F680" s="9"/>
    </row>
    <row r="681" spans="6:6">
      <c r="F681" s="9"/>
    </row>
    <row r="682" spans="6:6">
      <c r="F682" s="9"/>
    </row>
    <row r="683" spans="6:6">
      <c r="F683" s="9"/>
    </row>
    <row r="684" spans="6:6">
      <c r="F684" s="9"/>
    </row>
    <row r="685" spans="6:6">
      <c r="F685" s="9"/>
    </row>
    <row r="686" spans="6:6">
      <c r="F686" s="9"/>
    </row>
    <row r="687" spans="6:6">
      <c r="F687" s="9"/>
    </row>
    <row r="688" spans="6:6">
      <c r="F688" s="9"/>
    </row>
    <row r="689" spans="6:6">
      <c r="F689" s="9"/>
    </row>
    <row r="690" spans="6:6">
      <c r="F690" s="9"/>
    </row>
    <row r="691" spans="6:6">
      <c r="F691" s="9"/>
    </row>
    <row r="692" spans="6:6">
      <c r="F692" s="9"/>
    </row>
    <row r="693" spans="6:6">
      <c r="F693" s="9"/>
    </row>
    <row r="694" spans="6:6">
      <c r="F694" s="9"/>
    </row>
    <row r="695" spans="6:6">
      <c r="F695" s="9"/>
    </row>
    <row r="696" spans="6:6">
      <c r="F696" s="9"/>
    </row>
    <row r="697" spans="6:6">
      <c r="F697" s="9"/>
    </row>
    <row r="698" spans="6:6">
      <c r="F698" s="9"/>
    </row>
    <row r="699" spans="6:6">
      <c r="F699" s="9"/>
    </row>
    <row r="700" spans="6:6">
      <c r="F700" s="9"/>
    </row>
    <row r="701" spans="6:6">
      <c r="F701" s="9"/>
    </row>
    <row r="702" spans="6:6">
      <c r="F702" s="9"/>
    </row>
    <row r="703" spans="6:6">
      <c r="F703" s="9"/>
    </row>
    <row r="704" spans="6:6">
      <c r="F704" s="9"/>
    </row>
    <row r="705" spans="6:6">
      <c r="F705" s="9"/>
    </row>
    <row r="706" spans="6:6">
      <c r="F706" s="9"/>
    </row>
    <row r="707" spans="6:6">
      <c r="F707" s="9"/>
    </row>
    <row r="708" spans="6:6">
      <c r="F708" s="9"/>
    </row>
    <row r="709" spans="6:6">
      <c r="F709" s="9"/>
    </row>
    <row r="710" spans="6:6">
      <c r="F710" s="9"/>
    </row>
    <row r="711" spans="6:6">
      <c r="F711" s="9"/>
    </row>
    <row r="712" spans="6:6">
      <c r="F712" s="9"/>
    </row>
    <row r="713" spans="6:6">
      <c r="F713" s="9"/>
    </row>
    <row r="714" spans="6:6">
      <c r="F714" s="9"/>
    </row>
    <row r="715" spans="6:6">
      <c r="F715" s="9"/>
    </row>
    <row r="716" spans="6:6">
      <c r="F716" s="9"/>
    </row>
    <row r="717" spans="6:6">
      <c r="F717" s="9"/>
    </row>
    <row r="718" spans="6:6">
      <c r="F718" s="9"/>
    </row>
    <row r="719" spans="6:6">
      <c r="F719" s="9"/>
    </row>
    <row r="720" spans="6:6">
      <c r="F720" s="9"/>
    </row>
    <row r="721" spans="6:6">
      <c r="F721" s="9"/>
    </row>
    <row r="722" spans="6:6">
      <c r="F722" s="9"/>
    </row>
    <row r="723" spans="6:6">
      <c r="F723" s="9"/>
    </row>
    <row r="724" spans="6:6">
      <c r="F724" s="9"/>
    </row>
    <row r="725" spans="6:6">
      <c r="F725" s="9"/>
    </row>
    <row r="726" spans="6:6">
      <c r="F726" s="9"/>
    </row>
    <row r="727" spans="6:6">
      <c r="F727" s="9"/>
    </row>
    <row r="728" spans="6:6">
      <c r="F728" s="9"/>
    </row>
    <row r="729" spans="6:6">
      <c r="F729" s="9"/>
    </row>
    <row r="730" spans="6:6">
      <c r="F730" s="9"/>
    </row>
    <row r="731" spans="6:6">
      <c r="F731" s="9"/>
    </row>
    <row r="732" spans="6:6">
      <c r="F732" s="9"/>
    </row>
    <row r="733" spans="6:6">
      <c r="F733" s="9"/>
    </row>
    <row r="734" spans="6:6">
      <c r="F734" s="9"/>
    </row>
    <row r="735" spans="6:6">
      <c r="F735" s="9"/>
    </row>
    <row r="736" spans="6:6">
      <c r="F736" s="9"/>
    </row>
    <row r="737" spans="6:6">
      <c r="F737" s="9"/>
    </row>
    <row r="738" spans="6:6">
      <c r="F738" s="9"/>
    </row>
    <row r="739" spans="6:6">
      <c r="F739" s="9"/>
    </row>
    <row r="740" spans="6:6">
      <c r="F740" s="9"/>
    </row>
    <row r="741" spans="6:6">
      <c r="F741" s="9"/>
    </row>
    <row r="742" spans="6:6">
      <c r="F742" s="9"/>
    </row>
    <row r="743" spans="6:6">
      <c r="F743" s="9"/>
    </row>
    <row r="744" spans="6:6">
      <c r="F744" s="9"/>
    </row>
    <row r="745" spans="6:6">
      <c r="F745" s="9"/>
    </row>
    <row r="746" spans="6:6">
      <c r="F746" s="9"/>
    </row>
    <row r="747" spans="6:6">
      <c r="F747" s="9"/>
    </row>
    <row r="748" spans="6:6">
      <c r="F748" s="9"/>
    </row>
    <row r="749" spans="6:6">
      <c r="F749" s="9"/>
    </row>
    <row r="750" spans="6:6">
      <c r="F750" s="9"/>
    </row>
    <row r="751" spans="6:6">
      <c r="F751" s="9"/>
    </row>
    <row r="752" spans="6:6">
      <c r="F752" s="9"/>
    </row>
    <row r="753" spans="6:6">
      <c r="F753" s="9"/>
    </row>
    <row r="754" spans="6:6">
      <c r="F754" s="9"/>
    </row>
  </sheetData>
  <sortState xmlns:xlrd2="http://schemas.microsoft.com/office/spreadsheetml/2017/richdata2" ref="A2:F13">
    <sortCondition descending="1" ref="B2:B13"/>
  </sortState>
  <phoneticPr fontId="2" type="noConversion"/>
  <conditionalFormatting sqref="F2:F99 D2:D99">
    <cfRule type="containsText" dxfId="1" priority="1" operator="containsText" text="▼">
      <formula>NOT(ISERROR(SEARCH("▼",D2)))</formula>
    </cfRule>
    <cfRule type="containsText" dxfId="0" priority="2" operator="containsText" text="▲">
      <formula>NOT(ISERROR(SEARCH("▲",D2)))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H2" sqref="H2:H4"/>
    </sheetView>
  </sheetViews>
  <sheetFormatPr defaultRowHeight="16.5"/>
  <cols>
    <col min="1" max="1" width="15.5" customWidth="1"/>
    <col min="2" max="2" width="9.875" bestFit="1" customWidth="1"/>
    <col min="3" max="4" width="34.75" customWidth="1"/>
    <col min="5" max="5" width="36.25" customWidth="1"/>
    <col min="6" max="6" width="25.5" customWidth="1"/>
    <col min="7" max="7" width="28.5" customWidth="1"/>
    <col min="8" max="8" width="11.8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>
        <v>1</v>
      </c>
      <c r="B2" s="4">
        <v>45612</v>
      </c>
      <c r="C2" t="s">
        <v>26</v>
      </c>
      <c r="D2" t="s">
        <v>28</v>
      </c>
      <c r="E2">
        <v>7</v>
      </c>
      <c r="F2">
        <v>13</v>
      </c>
      <c r="G2" t="s">
        <v>31</v>
      </c>
      <c r="H2" t="s">
        <v>27</v>
      </c>
    </row>
    <row r="3" spans="1:8">
      <c r="A3">
        <v>2</v>
      </c>
      <c r="B3" s="4">
        <v>45612</v>
      </c>
      <c r="C3" t="s">
        <v>26</v>
      </c>
      <c r="D3" t="s">
        <v>41</v>
      </c>
      <c r="E3">
        <v>13</v>
      </c>
      <c r="F3">
        <v>5</v>
      </c>
      <c r="G3" t="s">
        <v>39</v>
      </c>
      <c r="H3" t="s">
        <v>27</v>
      </c>
    </row>
    <row r="4" spans="1:8">
      <c r="A4">
        <v>3</v>
      </c>
      <c r="B4" s="4">
        <v>45612</v>
      </c>
      <c r="C4" t="s">
        <v>26</v>
      </c>
      <c r="D4" t="s">
        <v>42</v>
      </c>
      <c r="E4">
        <v>13</v>
      </c>
      <c r="F4">
        <v>2</v>
      </c>
      <c r="G4" t="s">
        <v>39</v>
      </c>
      <c r="H4" t="s">
        <v>27</v>
      </c>
    </row>
    <row r="5" spans="1:8">
      <c r="B5" s="4"/>
    </row>
    <row r="6" spans="1:8">
      <c r="B6" s="4"/>
    </row>
    <row r="7" spans="1:8">
      <c r="B7" s="4"/>
    </row>
    <row r="8" spans="1:8">
      <c r="B8" s="4"/>
    </row>
    <row r="9" spans="1:8">
      <c r="B9" s="4"/>
    </row>
    <row r="10" spans="1:8">
      <c r="B10" s="4"/>
    </row>
    <row r="11" spans="1:8">
      <c r="B11" s="4"/>
    </row>
    <row r="12" spans="1:8">
      <c r="B12" s="4"/>
    </row>
    <row r="13" spans="1:8">
      <c r="B13" s="4"/>
    </row>
    <row r="14" spans="1:8">
      <c r="B14" s="4"/>
    </row>
    <row r="15" spans="1:8">
      <c r="B15" s="4"/>
    </row>
    <row r="16" spans="1:8">
      <c r="B16" s="4"/>
    </row>
    <row r="17" spans="2:2">
      <c r="B17" s="4"/>
    </row>
    <row r="18" spans="2:2">
      <c r="B18" s="4"/>
    </row>
    <row r="19" spans="2:2">
      <c r="B19" s="4"/>
    </row>
    <row r="20" spans="2:2">
      <c r="B20" s="4"/>
    </row>
  </sheetData>
  <phoneticPr fontId="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1"/>
  <sheetViews>
    <sheetView workbookViewId="0">
      <selection activeCell="C10" sqref="C10"/>
    </sheetView>
  </sheetViews>
  <sheetFormatPr defaultRowHeight="16.5"/>
  <sheetData>
    <row r="1" spans="1:4">
      <c r="A1" t="s">
        <v>38</v>
      </c>
      <c r="B1" t="s">
        <v>8</v>
      </c>
      <c r="C1" t="s">
        <v>9</v>
      </c>
      <c r="D1" t="s">
        <v>10</v>
      </c>
    </row>
    <row r="2" spans="1:4">
      <c r="A2" t="s">
        <v>16</v>
      </c>
      <c r="B2">
        <v>2</v>
      </c>
      <c r="C2">
        <v>1</v>
      </c>
      <c r="D2">
        <v>1000</v>
      </c>
    </row>
    <row r="3" spans="1:4">
      <c r="A3" t="s">
        <v>18</v>
      </c>
      <c r="B3">
        <v>1</v>
      </c>
      <c r="C3">
        <v>2</v>
      </c>
      <c r="D3">
        <v>1000</v>
      </c>
    </row>
    <row r="4" spans="1:4">
      <c r="A4" t="s">
        <v>24</v>
      </c>
      <c r="B4">
        <v>2</v>
      </c>
      <c r="C4">
        <v>1</v>
      </c>
      <c r="D4">
        <v>1000</v>
      </c>
    </row>
    <row r="5" spans="1:4">
      <c r="A5" t="s">
        <v>19</v>
      </c>
      <c r="B5">
        <v>1</v>
      </c>
      <c r="C5">
        <v>2</v>
      </c>
      <c r="D5">
        <v>1000</v>
      </c>
    </row>
    <row r="6" spans="1:4">
      <c r="A6" t="s">
        <v>20</v>
      </c>
      <c r="B6">
        <v>2</v>
      </c>
      <c r="C6">
        <v>1</v>
      </c>
      <c r="D6">
        <v>1000</v>
      </c>
    </row>
    <row r="7" spans="1:4">
      <c r="A7" t="s">
        <v>21</v>
      </c>
      <c r="B7">
        <v>1</v>
      </c>
      <c r="C7">
        <v>2</v>
      </c>
      <c r="D7">
        <v>1000</v>
      </c>
    </row>
    <row r="8" spans="1:4">
      <c r="A8" t="s">
        <v>22</v>
      </c>
      <c r="B8">
        <v>2</v>
      </c>
      <c r="C8">
        <v>1</v>
      </c>
      <c r="D8">
        <v>1000</v>
      </c>
    </row>
    <row r="9" spans="1:4">
      <c r="A9" t="s">
        <v>23</v>
      </c>
      <c r="B9">
        <v>2</v>
      </c>
      <c r="C9">
        <v>1</v>
      </c>
      <c r="D9">
        <v>1000</v>
      </c>
    </row>
    <row r="10" spans="1:4">
      <c r="A10" t="s">
        <v>25</v>
      </c>
      <c r="B10">
        <v>2</v>
      </c>
      <c r="C10">
        <v>1</v>
      </c>
    </row>
    <row r="11" spans="1:4">
      <c r="A11" t="s">
        <v>17</v>
      </c>
    </row>
  </sheetData>
  <phoneticPr fontId="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5"/>
  <sheetViews>
    <sheetView workbookViewId="0">
      <selection activeCell="A3" sqref="A3"/>
    </sheetView>
  </sheetViews>
  <sheetFormatPr defaultRowHeight="16.5"/>
  <cols>
    <col min="1" max="1" width="40" customWidth="1"/>
  </cols>
  <sheetData>
    <row r="1" spans="1:1">
      <c r="A1" s="2" t="s">
        <v>11</v>
      </c>
    </row>
    <row r="2" spans="1:1" ht="33">
      <c r="A2" s="3" t="s">
        <v>12</v>
      </c>
    </row>
    <row r="3" spans="1:1" ht="33">
      <c r="A3" s="3" t="s">
        <v>13</v>
      </c>
    </row>
    <row r="4" spans="1:1">
      <c r="A4" s="3" t="s">
        <v>14</v>
      </c>
    </row>
    <row r="5" spans="1:1" ht="33">
      <c r="A5" s="3" t="s">
        <v>15</v>
      </c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Player List</vt:lpstr>
      <vt:lpstr>Match Records</vt:lpstr>
      <vt:lpstr>Summary</vt:lpstr>
      <vt:lpstr>VBA 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박유신</cp:lastModifiedBy>
  <dcterms:created xsi:type="dcterms:W3CDTF">2024-11-17T08:55:49Z</dcterms:created>
  <dcterms:modified xsi:type="dcterms:W3CDTF">2024-11-17T17:30:57Z</dcterms:modified>
</cp:coreProperties>
</file>